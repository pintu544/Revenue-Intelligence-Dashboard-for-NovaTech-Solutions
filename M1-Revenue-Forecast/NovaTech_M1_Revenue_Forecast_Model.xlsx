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 Data" sheetId="1" state="visible" r:id="rId3"/>
    <sheet name="Best Case" sheetId="2" state="visible" r:id="rId4"/>
    <sheet name="Worst Case" sheetId="3" state="visible" r:id="rId5"/>
    <sheet name="Commit" sheetId="4" state="visible" r:id="rId6"/>
    <sheet name="PBI Data Mod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<sst xmlns="http://schemas.openxmlformats.org/spreadsheetml/2006/main" count="555" uniqueCount="167">
  <si>
    <t xml:space="preserve">Opp ID</t>
  </si>
  <si>
    <t xml:space="preserve">Opportunity Name</t>
  </si>
  <si>
    <t xml:space="preserve">Account Name</t>
  </si>
  <si>
    <t xml:space="preserve">Region</t>
  </si>
  <si>
    <t xml:space="preserve">Sales Rep</t>
  </si>
  <si>
    <t xml:space="preserve">Stage</t>
  </si>
  <si>
    <t xml:space="preserve">Amount ($)</t>
  </si>
  <si>
    <t xml:space="preserve">Probability (%)</t>
  </si>
  <si>
    <t xml:space="preserve">Weighted Amount ($)</t>
  </si>
  <si>
    <t xml:space="preserve">Close Date</t>
  </si>
  <si>
    <t xml:space="preserve">Lead Source</t>
  </si>
  <si>
    <t xml:space="preserve">Industry</t>
  </si>
  <si>
    <t xml:space="preserve">Notes</t>
  </si>
  <si>
    <t xml:space="preserve">OPP-001</t>
  </si>
  <si>
    <t xml:space="preserve">CloudSync Enterprise License</t>
  </si>
  <si>
    <t xml:space="preserve">Meridian Health</t>
  </si>
  <si>
    <t xml:space="preserve">AMER</t>
  </si>
  <si>
    <t xml:space="preserve">James Okafor</t>
  </si>
  <si>
    <t xml:space="preserve">Proposal/Price Quote</t>
  </si>
  <si>
    <t xml:space="preserve">Outbound</t>
  </si>
  <si>
    <t xml:space="preserve">Healthcare</t>
  </si>
  <si>
    <t xml:space="preserve">Renewal upgrade</t>
  </si>
  <si>
    <t xml:space="preserve">OPP-002</t>
  </si>
  <si>
    <t xml:space="preserve">Analytics Pro Suite</t>
  </si>
  <si>
    <t xml:space="preserve">Apex Retail Group</t>
  </si>
  <si>
    <t xml:space="preserve">Closed Won</t>
  </si>
  <si>
    <t xml:space="preserve">Inbound</t>
  </si>
  <si>
    <t xml:space="preserve">Retail</t>
  </si>
  <si>
    <t xml:space="preserve">OPP-003</t>
  </si>
  <si>
    <t xml:space="preserve">DataBridge Platform</t>
  </si>
  <si>
    <t xml:space="preserve">Franklin Capital</t>
  </si>
  <si>
    <t xml:space="preserve">Sarah Nwachukwu</t>
  </si>
  <si>
    <t xml:space="preserve">Needs Analysis</t>
  </si>
  <si>
    <t xml:space="preserve">Partner Referral</t>
  </si>
  <si>
    <t xml:space="preserve">Finance</t>
  </si>
  <si>
    <t xml:space="preserve">Early stage</t>
  </si>
  <si>
    <t xml:space="preserve">OPP-004</t>
  </si>
  <si>
    <t xml:space="preserve">NovaTech Core Bundle</t>
  </si>
  <si>
    <t xml:space="preserve">TechVentures Inc.</t>
  </si>
  <si>
    <t xml:space="preserve">Value Proposition</t>
  </si>
  <si>
    <t xml:space="preserve">Web</t>
  </si>
  <si>
    <t xml:space="preserve">Technology</t>
  </si>
  <si>
    <t xml:space="preserve">Demo completed</t>
  </si>
  <si>
    <t xml:space="preserve">OPP-005</t>
  </si>
  <si>
    <t xml:space="preserve">Premium Support Pack</t>
  </si>
  <si>
    <t xml:space="preserve">GlobalEdge LLC</t>
  </si>
  <si>
    <t xml:space="preserve">Closed Lost</t>
  </si>
  <si>
    <t xml:space="preserve">Consulting</t>
  </si>
  <si>
    <t xml:space="preserve">Lost to competitor</t>
  </si>
  <si>
    <t xml:space="preserve">OPP-006</t>
  </si>
  <si>
    <t xml:space="preserve">AI Insights Module</t>
  </si>
  <si>
    <t xml:space="preserve">StreamlineOps</t>
  </si>
  <si>
    <t xml:space="preserve">Carlos Diaz</t>
  </si>
  <si>
    <t xml:space="preserve">Perception Analysis</t>
  </si>
  <si>
    <t xml:space="preserve">Event</t>
  </si>
  <si>
    <t xml:space="preserve">Manufacturing</t>
  </si>
  <si>
    <t xml:space="preserve">Pilot approved</t>
  </si>
  <si>
    <t xml:space="preserve">OPP-007</t>
  </si>
  <si>
    <t xml:space="preserve">SMB Starter Plan</t>
  </si>
  <si>
    <t xml:space="preserve">Bright Ideas Co.</t>
  </si>
  <si>
    <t xml:space="preserve">Education</t>
  </si>
  <si>
    <t xml:space="preserve">OPP-008</t>
  </si>
  <si>
    <t xml:space="preserve">Enterprise Suite Renewal</t>
  </si>
  <si>
    <t xml:space="preserve">Hartwell Corp</t>
  </si>
  <si>
    <t xml:space="preserve">Financial Services</t>
  </si>
  <si>
    <t xml:space="preserve">Legal reviewing</t>
  </si>
  <si>
    <t xml:space="preserve">OPP-009</t>
  </si>
  <si>
    <t xml:space="preserve">CloudSync EMEA Bundle</t>
  </si>
  <si>
    <t xml:space="preserve">Nordic Systems AB</t>
  </si>
  <si>
    <t xml:space="preserve">EMEA</t>
  </si>
  <si>
    <t xml:space="preserve">Priya Sharma</t>
  </si>
  <si>
    <t xml:space="preserve">OPP-010</t>
  </si>
  <si>
    <t xml:space="preserve">DataBridge EU</t>
  </si>
  <si>
    <t xml:space="preserve">Vega Pharmaceuticals</t>
  </si>
  <si>
    <t xml:space="preserve">Pharma</t>
  </si>
  <si>
    <t xml:space="preserve">GDPR review pending</t>
  </si>
  <si>
    <t xml:space="preserve">OPP-011</t>
  </si>
  <si>
    <t xml:space="preserve">Analytics Platform</t>
  </si>
  <si>
    <t xml:space="preserve">Atlas Logistics</t>
  </si>
  <si>
    <t xml:space="preserve">Tobias Müller</t>
  </si>
  <si>
    <t xml:space="preserve">Logistics</t>
  </si>
  <si>
    <t xml:space="preserve">OPP-012</t>
  </si>
  <si>
    <t xml:space="preserve">Core License Expansion</t>
  </si>
  <si>
    <t xml:space="preserve">Luminos Bank</t>
  </si>
  <si>
    <t xml:space="preserve">Banking</t>
  </si>
  <si>
    <t xml:space="preserve">Large deal, long cycle</t>
  </si>
  <si>
    <t xml:space="preserve">OPP-013</t>
  </si>
  <si>
    <t xml:space="preserve">NovaTech Starter</t>
  </si>
  <si>
    <t xml:space="preserve">Greenwave Energy</t>
  </si>
  <si>
    <t xml:space="preserve">Energy</t>
  </si>
  <si>
    <t xml:space="preserve">OPP-014</t>
  </si>
  <si>
    <t xml:space="preserve">Premium Support EMEA</t>
  </si>
  <si>
    <t xml:space="preserve">Fischer &amp; Partners</t>
  </si>
  <si>
    <t xml:space="preserve">Legal</t>
  </si>
  <si>
    <t xml:space="preserve">OPP-015</t>
  </si>
  <si>
    <t xml:space="preserve">AI Insights EMEA</t>
  </si>
  <si>
    <t xml:space="preserve">Solaris Tech GmbH</t>
  </si>
  <si>
    <t xml:space="preserve">Evaluation underway</t>
  </si>
  <si>
    <t xml:space="preserve">OPP-016</t>
  </si>
  <si>
    <t xml:space="preserve">CloudSync APAC</t>
  </si>
  <si>
    <t xml:space="preserve">Tanaka Industries</t>
  </si>
  <si>
    <t xml:space="preserve">APAC</t>
  </si>
  <si>
    <t xml:space="preserve">Lin Wei</t>
  </si>
  <si>
    <t xml:space="preserve">OPP-017</t>
  </si>
  <si>
    <t xml:space="preserve">Analytics Suite APAC</t>
  </si>
  <si>
    <t xml:space="preserve">Oceanic Finance</t>
  </si>
  <si>
    <t xml:space="preserve">OPP-018</t>
  </si>
  <si>
    <t xml:space="preserve">DataBridge ANZ</t>
  </si>
  <si>
    <t xml:space="preserve">Skyline Properties</t>
  </si>
  <si>
    <t xml:space="preserve">Raj Patel</t>
  </si>
  <si>
    <t xml:space="preserve">Real Estate</t>
  </si>
  <si>
    <t xml:space="preserve">New logo</t>
  </si>
  <si>
    <t xml:space="preserve">OPP-019</t>
  </si>
  <si>
    <t xml:space="preserve">Core Bundle SEA</t>
  </si>
  <si>
    <t xml:space="preserve">PacificNet Pte Ltd</t>
  </si>
  <si>
    <t xml:space="preserve">Telecom</t>
  </si>
  <si>
    <t xml:space="preserve">OPP-020</t>
  </si>
  <si>
    <t xml:space="preserve">Enterprise Expansion</t>
  </si>
  <si>
    <t xml:space="preserve">HorizonTech KR</t>
  </si>
  <si>
    <t xml:space="preserve">OPP-021</t>
  </si>
  <si>
    <t xml:space="preserve">AI Module APAC</t>
  </si>
  <si>
    <t xml:space="preserve">AustraliaCare</t>
  </si>
  <si>
    <t xml:space="preserve">OPP-022</t>
  </si>
  <si>
    <t xml:space="preserve">SMB Package SEA</t>
  </si>
  <si>
    <t xml:space="preserve">ByteLogic MY</t>
  </si>
  <si>
    <t xml:space="preserve">Budget freeze</t>
  </si>
  <si>
    <t xml:space="preserve">TOTALS</t>
  </si>
  <si>
    <t xml:space="preserve">NovaTech Solutions - Q2/Q3 2025 Revenue Forecast | Best Case</t>
  </si>
  <si>
    <t xml:space="preserve">KEY ASSUMPTIONS</t>
  </si>
  <si>
    <t xml:space="preserve">Scenario Multiplier:</t>
  </si>
  <si>
    <t xml:space="preserve">1.15</t>
  </si>
  <si>
    <t xml:space="preserve">Probability Adjustment:</t>
  </si>
  <si>
    <t xml:space="preserve">+15% uplift</t>
  </si>
  <si>
    <t xml:space="preserve">Quota per Rep ($):</t>
  </si>
  <si>
    <t xml:space="preserve">Annual quota per sales rep</t>
  </si>
  <si>
    <t xml:space="preserve">Number of Reps:</t>
  </si>
  <si>
    <t xml:space="preserve">Active quota-carrying reps</t>
  </si>
  <si>
    <t xml:space="preserve">PIPELINE BY REGION - WEIGHTED FORECAST</t>
  </si>
  <si>
    <t xml:space="preserve">Total Pipeline ($)</t>
  </si>
  <si>
    <t xml:space="preserve">Open Opps</t>
  </si>
  <si>
    <t xml:space="preserve">Weighted Pipeline ($)</t>
  </si>
  <si>
    <t xml:space="preserve">Scenario Forecast (1.15)</t>
  </si>
  <si>
    <t xml:space="preserve">Quota ($)</t>
  </si>
  <si>
    <t xml:space="preserve">Attainment (%)</t>
  </si>
  <si>
    <t xml:space="preserve">Gap to Quota ($)</t>
  </si>
  <si>
    <t xml:space="preserve">TOTAL</t>
  </si>
  <si>
    <t xml:space="preserve">QUOTA ATTAINMENT BY REP</t>
  </si>
  <si>
    <t xml:space="preserve">Closed Won ($)</t>
  </si>
  <si>
    <t xml:space="preserve">Pipeline (Weighted) ($)</t>
  </si>
  <si>
    <t xml:space="preserve">Scenario Total (1.15)</t>
  </si>
  <si>
    <t xml:space="preserve">Annual Quota ($)</t>
  </si>
  <si>
    <t xml:space="preserve">NovaTech Solutions - Q2/Q3 2025 Revenue Forecast | Worst Case</t>
  </si>
  <si>
    <t xml:space="preserve">0.80</t>
  </si>
  <si>
    <t xml:space="preserve">-20% haircut</t>
  </si>
  <si>
    <t xml:space="preserve">Scenario Forecast (0.80)</t>
  </si>
  <si>
    <t xml:space="preserve">Scenario Total (0.80)</t>
  </si>
  <si>
    <t xml:space="preserve">NovaTech Solutions - Q2/Q3 2025 Revenue Forecast | Commit</t>
  </si>
  <si>
    <t xml:space="preserve">1.00</t>
  </si>
  <si>
    <t xml:space="preserve">Base (no adj)</t>
  </si>
  <si>
    <t xml:space="preserve">Scenario Forecast (1.00)</t>
  </si>
  <si>
    <t xml:space="preserve">Scenario Total (1.00)</t>
  </si>
  <si>
    <t xml:space="preserve">Best Case Forecast ($)</t>
  </si>
  <si>
    <t xml:space="preserve">Worst Case Forecast ($)</t>
  </si>
  <si>
    <t xml:space="preserve">Commit Forecast ($)</t>
  </si>
  <si>
    <t xml:space="preserve">Quarter</t>
  </si>
  <si>
    <t xml:space="preserve">Q2 2025</t>
  </si>
  <si>
    <t xml:space="preserve">Q3 2025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</si>
</sst>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%;\(0%\);\-"/>
    <numFmt numFmtId="167" formatCode="mmm\ d&quot;, &quot;yyyy"/>
    <numFmt numFmtId="168" formatCode="#,##0;\(#,##0\);\-"/>
    <numFmt numFmtId="169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5FA3"/>
        <bgColor rgb="FF3366FF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F2F2F2"/>
      </patternFill>
    </fill>
    <fill>
      <patternFill patternType="solid">
        <fgColor rgb="FF7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2" min="11" style="0" width="18"/>
    <col collapsed="false" customWidth="true" hidden="false" outlineLevel="0" max="13" min="13" style="0" width="20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8" hidden="false" customHeight="true" outlineLevel="0" collapsed="false">
      <c r="A2" s="2" t="s">
        <v>13</v>
      </c>
      <c r="B2" s="3" t="s">
        <v>14</v>
      </c>
      <c r="C2" s="3" t="s">
        <v>15</v>
      </c>
      <c r="D2" s="2" t="s">
        <v>16</v>
      </c>
      <c r="E2" s="3" t="s">
        <v>17</v>
      </c>
      <c r="F2" s="2" t="s">
        <v>18</v>
      </c>
      <c r="G2" s="4" t="n">
        <v>120000</v>
      </c>
      <c r="H2" s="5" t="n">
        <v>0.75</v>
      </c>
      <c r="I2" s="6" t="n">
        <f aca="false">G2*H2</f>
        <v>90000</v>
      </c>
      <c r="J2" s="7" t="n">
        <v>45838</v>
      </c>
      <c r="K2" s="2" t="s">
        <v>19</v>
      </c>
      <c r="L2" s="2" t="s">
        <v>20</v>
      </c>
      <c r="M2" s="3" t="s">
        <v>21</v>
      </c>
    </row>
    <row r="3" customFormat="false" ht="15" hidden="false" customHeight="false" outlineLevel="0" collapsed="false">
      <c r="A3" s="8" t="s">
        <v>22</v>
      </c>
      <c r="B3" s="9" t="s">
        <v>23</v>
      </c>
      <c r="C3" s="9" t="s">
        <v>24</v>
      </c>
      <c r="D3" s="8" t="s">
        <v>16</v>
      </c>
      <c r="E3" s="9" t="s">
        <v>17</v>
      </c>
      <c r="F3" s="8" t="s">
        <v>25</v>
      </c>
      <c r="G3" s="10" t="n">
        <v>85000</v>
      </c>
      <c r="H3" s="11" t="n">
        <v>1</v>
      </c>
      <c r="I3" s="12" t="n">
        <f aca="false">G3*H3</f>
        <v>85000</v>
      </c>
      <c r="J3" s="13" t="n">
        <v>45792</v>
      </c>
      <c r="K3" s="8" t="s">
        <v>26</v>
      </c>
      <c r="L3" s="8" t="s">
        <v>27</v>
      </c>
      <c r="M3" s="9"/>
    </row>
    <row r="4" customFormat="false" ht="15" hidden="false" customHeight="false" outlineLevel="0" collapsed="false">
      <c r="A4" s="2" t="s">
        <v>28</v>
      </c>
      <c r="B4" s="3" t="s">
        <v>29</v>
      </c>
      <c r="C4" s="3" t="s">
        <v>30</v>
      </c>
      <c r="D4" s="2" t="s">
        <v>16</v>
      </c>
      <c r="E4" s="3" t="s">
        <v>31</v>
      </c>
      <c r="F4" s="2" t="s">
        <v>32</v>
      </c>
      <c r="G4" s="4" t="n">
        <v>200000</v>
      </c>
      <c r="H4" s="5" t="n">
        <v>0.2</v>
      </c>
      <c r="I4" s="6" t="n">
        <f aca="false">G4*H4</f>
        <v>40000</v>
      </c>
      <c r="J4" s="7" t="n">
        <v>45869</v>
      </c>
      <c r="K4" s="2" t="s">
        <v>33</v>
      </c>
      <c r="L4" s="2" t="s">
        <v>34</v>
      </c>
      <c r="M4" s="3" t="s">
        <v>35</v>
      </c>
    </row>
    <row r="5" customFormat="false" ht="15" hidden="false" customHeight="false" outlineLevel="0" collapsed="false">
      <c r="A5" s="8" t="s">
        <v>36</v>
      </c>
      <c r="B5" s="9" t="s">
        <v>37</v>
      </c>
      <c r="C5" s="9" t="s">
        <v>38</v>
      </c>
      <c r="D5" s="8" t="s">
        <v>16</v>
      </c>
      <c r="E5" s="9" t="s">
        <v>31</v>
      </c>
      <c r="F5" s="8" t="s">
        <v>39</v>
      </c>
      <c r="G5" s="10" t="n">
        <v>55000</v>
      </c>
      <c r="H5" s="11" t="n">
        <v>0.5</v>
      </c>
      <c r="I5" s="12" t="n">
        <f aca="false">G5*H5</f>
        <v>27500</v>
      </c>
      <c r="J5" s="13" t="n">
        <v>45823</v>
      </c>
      <c r="K5" s="8" t="s">
        <v>40</v>
      </c>
      <c r="L5" s="8" t="s">
        <v>41</v>
      </c>
      <c r="M5" s="9" t="s">
        <v>42</v>
      </c>
    </row>
    <row r="6" customFormat="false" ht="15" hidden="false" customHeight="false" outlineLevel="0" collapsed="false">
      <c r="A6" s="2" t="s">
        <v>43</v>
      </c>
      <c r="B6" s="3" t="s">
        <v>44</v>
      </c>
      <c r="C6" s="3" t="s">
        <v>45</v>
      </c>
      <c r="D6" s="2" t="s">
        <v>16</v>
      </c>
      <c r="E6" s="3" t="s">
        <v>17</v>
      </c>
      <c r="F6" s="2" t="s">
        <v>46</v>
      </c>
      <c r="G6" s="4" t="n">
        <v>30000</v>
      </c>
      <c r="H6" s="5" t="n">
        <v>0</v>
      </c>
      <c r="I6" s="6" t="n">
        <f aca="false">G6*H6</f>
        <v>0</v>
      </c>
      <c r="J6" s="7" t="n">
        <v>45777</v>
      </c>
      <c r="K6" s="2" t="s">
        <v>19</v>
      </c>
      <c r="L6" s="2" t="s">
        <v>47</v>
      </c>
      <c r="M6" s="3" t="s">
        <v>48</v>
      </c>
    </row>
    <row r="7" customFormat="false" ht="15" hidden="false" customHeight="false" outlineLevel="0" collapsed="false">
      <c r="A7" s="8" t="s">
        <v>49</v>
      </c>
      <c r="B7" s="9" t="s">
        <v>50</v>
      </c>
      <c r="C7" s="9" t="s">
        <v>51</v>
      </c>
      <c r="D7" s="8" t="s">
        <v>16</v>
      </c>
      <c r="E7" s="9" t="s">
        <v>52</v>
      </c>
      <c r="F7" s="8" t="s">
        <v>53</v>
      </c>
      <c r="G7" s="10" t="n">
        <v>95000</v>
      </c>
      <c r="H7" s="11" t="n">
        <v>0.65</v>
      </c>
      <c r="I7" s="12" t="n">
        <f aca="false">G7*H7</f>
        <v>61750</v>
      </c>
      <c r="J7" s="13" t="n">
        <v>45853</v>
      </c>
      <c r="K7" s="8" t="s">
        <v>54</v>
      </c>
      <c r="L7" s="8" t="s">
        <v>55</v>
      </c>
      <c r="M7" s="9" t="s">
        <v>56</v>
      </c>
    </row>
    <row r="8" customFormat="false" ht="15" hidden="false" customHeight="false" outlineLevel="0" collapsed="false">
      <c r="A8" s="2" t="s">
        <v>57</v>
      </c>
      <c r="B8" s="3" t="s">
        <v>58</v>
      </c>
      <c r="C8" s="3" t="s">
        <v>59</v>
      </c>
      <c r="D8" s="2" t="s">
        <v>16</v>
      </c>
      <c r="E8" s="3" t="s">
        <v>52</v>
      </c>
      <c r="F8" s="2" t="s">
        <v>32</v>
      </c>
      <c r="G8" s="4" t="n">
        <v>22000</v>
      </c>
      <c r="H8" s="5" t="n">
        <v>0.2</v>
      </c>
      <c r="I8" s="6" t="n">
        <f aca="false">G8*H8</f>
        <v>4400</v>
      </c>
      <c r="J8" s="7" t="n">
        <v>45900</v>
      </c>
      <c r="K8" s="2" t="s">
        <v>26</v>
      </c>
      <c r="L8" s="2" t="s">
        <v>60</v>
      </c>
      <c r="M8" s="3"/>
    </row>
    <row r="9" customFormat="false" ht="15" hidden="false" customHeight="false" outlineLevel="0" collapsed="false">
      <c r="A9" s="8" t="s">
        <v>61</v>
      </c>
      <c r="B9" s="9" t="s">
        <v>62</v>
      </c>
      <c r="C9" s="9" t="s">
        <v>63</v>
      </c>
      <c r="D9" s="8" t="s">
        <v>16</v>
      </c>
      <c r="E9" s="9" t="s">
        <v>31</v>
      </c>
      <c r="F9" s="8" t="s">
        <v>18</v>
      </c>
      <c r="G9" s="10" t="n">
        <v>175000</v>
      </c>
      <c r="H9" s="11" t="n">
        <v>0.75</v>
      </c>
      <c r="I9" s="12" t="n">
        <f aca="false">G9*H9</f>
        <v>131250</v>
      </c>
      <c r="J9" s="13" t="n">
        <v>45838</v>
      </c>
      <c r="K9" s="8" t="s">
        <v>19</v>
      </c>
      <c r="L9" s="8" t="s">
        <v>64</v>
      </c>
      <c r="M9" s="9" t="s">
        <v>65</v>
      </c>
    </row>
    <row r="10" customFormat="false" ht="15" hidden="false" customHeight="false" outlineLevel="0" collapsed="false">
      <c r="A10" s="2" t="s">
        <v>66</v>
      </c>
      <c r="B10" s="3" t="s">
        <v>67</v>
      </c>
      <c r="C10" s="3" t="s">
        <v>68</v>
      </c>
      <c r="D10" s="2" t="s">
        <v>69</v>
      </c>
      <c r="E10" s="3" t="s">
        <v>70</v>
      </c>
      <c r="F10" s="2" t="s">
        <v>25</v>
      </c>
      <c r="G10" s="4" t="n">
        <v>110000</v>
      </c>
      <c r="H10" s="5" t="n">
        <v>1</v>
      </c>
      <c r="I10" s="6" t="n">
        <f aca="false">G10*H10</f>
        <v>110000</v>
      </c>
      <c r="J10" s="7" t="n">
        <v>45797</v>
      </c>
      <c r="K10" s="2" t="s">
        <v>33</v>
      </c>
      <c r="L10" s="2" t="s">
        <v>41</v>
      </c>
      <c r="M10" s="3"/>
    </row>
    <row r="11" customFormat="false" ht="15" hidden="false" customHeight="false" outlineLevel="0" collapsed="false">
      <c r="A11" s="8" t="s">
        <v>71</v>
      </c>
      <c r="B11" s="9" t="s">
        <v>72</v>
      </c>
      <c r="C11" s="9" t="s">
        <v>73</v>
      </c>
      <c r="D11" s="8" t="s">
        <v>69</v>
      </c>
      <c r="E11" s="9" t="s">
        <v>70</v>
      </c>
      <c r="F11" s="8" t="s">
        <v>39</v>
      </c>
      <c r="G11" s="10" t="n">
        <v>145000</v>
      </c>
      <c r="H11" s="11" t="n">
        <v>0.5</v>
      </c>
      <c r="I11" s="12" t="n">
        <f aca="false">G11*H11</f>
        <v>72500</v>
      </c>
      <c r="J11" s="13" t="n">
        <v>45869</v>
      </c>
      <c r="K11" s="8" t="s">
        <v>26</v>
      </c>
      <c r="L11" s="8" t="s">
        <v>74</v>
      </c>
      <c r="M11" s="9" t="s">
        <v>75</v>
      </c>
    </row>
    <row r="12" customFormat="false" ht="15" hidden="false" customHeight="false" outlineLevel="0" collapsed="false">
      <c r="A12" s="2" t="s">
        <v>76</v>
      </c>
      <c r="B12" s="3" t="s">
        <v>77</v>
      </c>
      <c r="C12" s="3" t="s">
        <v>78</v>
      </c>
      <c r="D12" s="2" t="s">
        <v>69</v>
      </c>
      <c r="E12" s="3" t="s">
        <v>79</v>
      </c>
      <c r="F12" s="2" t="s">
        <v>18</v>
      </c>
      <c r="G12" s="4" t="n">
        <v>88000</v>
      </c>
      <c r="H12" s="5" t="n">
        <v>0.75</v>
      </c>
      <c r="I12" s="6" t="n">
        <f aca="false">G12*H12</f>
        <v>66000</v>
      </c>
      <c r="J12" s="7" t="n">
        <v>45823</v>
      </c>
      <c r="K12" s="2" t="s">
        <v>19</v>
      </c>
      <c r="L12" s="2" t="s">
        <v>80</v>
      </c>
      <c r="M12" s="3"/>
    </row>
    <row r="13" customFormat="false" ht="15" hidden="false" customHeight="false" outlineLevel="0" collapsed="false">
      <c r="A13" s="8" t="s">
        <v>81</v>
      </c>
      <c r="B13" s="9" t="s">
        <v>82</v>
      </c>
      <c r="C13" s="9" t="s">
        <v>83</v>
      </c>
      <c r="D13" s="8" t="s">
        <v>69</v>
      </c>
      <c r="E13" s="9" t="s">
        <v>79</v>
      </c>
      <c r="F13" s="8" t="s">
        <v>32</v>
      </c>
      <c r="G13" s="10" t="n">
        <v>250000</v>
      </c>
      <c r="H13" s="11" t="n">
        <v>0.2</v>
      </c>
      <c r="I13" s="12" t="n">
        <f aca="false">G13*H13</f>
        <v>50000</v>
      </c>
      <c r="J13" s="13" t="n">
        <v>45930</v>
      </c>
      <c r="K13" s="8" t="s">
        <v>26</v>
      </c>
      <c r="L13" s="8" t="s">
        <v>84</v>
      </c>
      <c r="M13" s="9" t="s">
        <v>85</v>
      </c>
    </row>
    <row r="14" customFormat="false" ht="15" hidden="false" customHeight="false" outlineLevel="0" collapsed="false">
      <c r="A14" s="2" t="s">
        <v>86</v>
      </c>
      <c r="B14" s="3" t="s">
        <v>87</v>
      </c>
      <c r="C14" s="3" t="s">
        <v>88</v>
      </c>
      <c r="D14" s="2" t="s">
        <v>69</v>
      </c>
      <c r="E14" s="3" t="s">
        <v>70</v>
      </c>
      <c r="F14" s="2" t="s">
        <v>53</v>
      </c>
      <c r="G14" s="4" t="n">
        <v>40000</v>
      </c>
      <c r="H14" s="5" t="n">
        <v>0.65</v>
      </c>
      <c r="I14" s="6" t="n">
        <f aca="false">G14*H14</f>
        <v>26000</v>
      </c>
      <c r="J14" s="7" t="n">
        <v>45869</v>
      </c>
      <c r="K14" s="2" t="s">
        <v>40</v>
      </c>
      <c r="L14" s="2" t="s">
        <v>89</v>
      </c>
      <c r="M14" s="3"/>
    </row>
    <row r="15" customFormat="false" ht="15" hidden="false" customHeight="false" outlineLevel="0" collapsed="false">
      <c r="A15" s="8" t="s">
        <v>90</v>
      </c>
      <c r="B15" s="9" t="s">
        <v>91</v>
      </c>
      <c r="C15" s="9" t="s">
        <v>92</v>
      </c>
      <c r="D15" s="8" t="s">
        <v>69</v>
      </c>
      <c r="E15" s="9" t="s">
        <v>79</v>
      </c>
      <c r="F15" s="8" t="s">
        <v>25</v>
      </c>
      <c r="G15" s="10" t="n">
        <v>62000</v>
      </c>
      <c r="H15" s="11" t="n">
        <v>1</v>
      </c>
      <c r="I15" s="12" t="n">
        <f aca="false">G15*H15</f>
        <v>62000</v>
      </c>
      <c r="J15" s="13" t="n">
        <v>45808</v>
      </c>
      <c r="K15" s="8" t="s">
        <v>33</v>
      </c>
      <c r="L15" s="8" t="s">
        <v>93</v>
      </c>
      <c r="M15" s="9"/>
    </row>
    <row r="16" customFormat="false" ht="15" hidden="false" customHeight="false" outlineLevel="0" collapsed="false">
      <c r="A16" s="2" t="s">
        <v>94</v>
      </c>
      <c r="B16" s="3" t="s">
        <v>95</v>
      </c>
      <c r="C16" s="3" t="s">
        <v>96</v>
      </c>
      <c r="D16" s="2" t="s">
        <v>69</v>
      </c>
      <c r="E16" s="3" t="s">
        <v>70</v>
      </c>
      <c r="F16" s="2" t="s">
        <v>39</v>
      </c>
      <c r="G16" s="4" t="n">
        <v>98000</v>
      </c>
      <c r="H16" s="5" t="n">
        <v>0.5</v>
      </c>
      <c r="I16" s="6" t="n">
        <f aca="false">G16*H16</f>
        <v>49000</v>
      </c>
      <c r="J16" s="7" t="n">
        <v>45884</v>
      </c>
      <c r="K16" s="2" t="s">
        <v>54</v>
      </c>
      <c r="L16" s="2" t="s">
        <v>41</v>
      </c>
      <c r="M16" s="3" t="s">
        <v>97</v>
      </c>
    </row>
    <row r="17" customFormat="false" ht="15" hidden="false" customHeight="false" outlineLevel="0" collapsed="false">
      <c r="A17" s="8" t="s">
        <v>98</v>
      </c>
      <c r="B17" s="9" t="s">
        <v>99</v>
      </c>
      <c r="C17" s="9" t="s">
        <v>100</v>
      </c>
      <c r="D17" s="8" t="s">
        <v>101</v>
      </c>
      <c r="E17" s="9" t="s">
        <v>102</v>
      </c>
      <c r="F17" s="8" t="s">
        <v>25</v>
      </c>
      <c r="G17" s="10" t="n">
        <v>130000</v>
      </c>
      <c r="H17" s="11" t="n">
        <v>1</v>
      </c>
      <c r="I17" s="12" t="n">
        <f aca="false">G17*H17</f>
        <v>130000</v>
      </c>
      <c r="J17" s="13" t="n">
        <v>45777</v>
      </c>
      <c r="K17" s="8" t="s">
        <v>26</v>
      </c>
      <c r="L17" s="8" t="s">
        <v>55</v>
      </c>
      <c r="M17" s="9"/>
    </row>
    <row r="18" customFormat="false" ht="15" hidden="false" customHeight="false" outlineLevel="0" collapsed="false">
      <c r="A18" s="2" t="s">
        <v>103</v>
      </c>
      <c r="B18" s="3" t="s">
        <v>104</v>
      </c>
      <c r="C18" s="3" t="s">
        <v>105</v>
      </c>
      <c r="D18" s="2" t="s">
        <v>101</v>
      </c>
      <c r="E18" s="3" t="s">
        <v>102</v>
      </c>
      <c r="F18" s="2" t="s">
        <v>18</v>
      </c>
      <c r="G18" s="4" t="n">
        <v>77000</v>
      </c>
      <c r="H18" s="5" t="n">
        <v>0.75</v>
      </c>
      <c r="I18" s="6" t="n">
        <f aca="false">G18*H18</f>
        <v>57750</v>
      </c>
      <c r="J18" s="7" t="n">
        <v>45838</v>
      </c>
      <c r="K18" s="2" t="s">
        <v>19</v>
      </c>
      <c r="L18" s="2" t="s">
        <v>34</v>
      </c>
      <c r="M18" s="3"/>
    </row>
    <row r="19" customFormat="false" ht="15" hidden="false" customHeight="false" outlineLevel="0" collapsed="false">
      <c r="A19" s="8" t="s">
        <v>106</v>
      </c>
      <c r="B19" s="9" t="s">
        <v>107</v>
      </c>
      <c r="C19" s="9" t="s">
        <v>108</v>
      </c>
      <c r="D19" s="8" t="s">
        <v>101</v>
      </c>
      <c r="E19" s="9" t="s">
        <v>109</v>
      </c>
      <c r="F19" s="8" t="s">
        <v>32</v>
      </c>
      <c r="G19" s="10" t="n">
        <v>165000</v>
      </c>
      <c r="H19" s="11" t="n">
        <v>0.2</v>
      </c>
      <c r="I19" s="12" t="n">
        <f aca="false">G19*H19</f>
        <v>33000</v>
      </c>
      <c r="J19" s="13" t="n">
        <v>45930</v>
      </c>
      <c r="K19" s="8" t="s">
        <v>33</v>
      </c>
      <c r="L19" s="8" t="s">
        <v>110</v>
      </c>
      <c r="M19" s="9" t="s">
        <v>111</v>
      </c>
    </row>
    <row r="20" customFormat="false" ht="15" hidden="false" customHeight="false" outlineLevel="0" collapsed="false">
      <c r="A20" s="2" t="s">
        <v>112</v>
      </c>
      <c r="B20" s="3" t="s">
        <v>113</v>
      </c>
      <c r="C20" s="3" t="s">
        <v>114</v>
      </c>
      <c r="D20" s="2" t="s">
        <v>101</v>
      </c>
      <c r="E20" s="3" t="s">
        <v>109</v>
      </c>
      <c r="F20" s="2" t="s">
        <v>39</v>
      </c>
      <c r="G20" s="4" t="n">
        <v>92000</v>
      </c>
      <c r="H20" s="5" t="n">
        <v>0.5</v>
      </c>
      <c r="I20" s="6" t="n">
        <f aca="false">G20*H20</f>
        <v>46000</v>
      </c>
      <c r="J20" s="7" t="n">
        <v>45869</v>
      </c>
      <c r="K20" s="2" t="s">
        <v>26</v>
      </c>
      <c r="L20" s="2" t="s">
        <v>115</v>
      </c>
      <c r="M20" s="3"/>
    </row>
    <row r="21" customFormat="false" ht="15" hidden="false" customHeight="false" outlineLevel="0" collapsed="false">
      <c r="A21" s="8" t="s">
        <v>116</v>
      </c>
      <c r="B21" s="9" t="s">
        <v>117</v>
      </c>
      <c r="C21" s="9" t="s">
        <v>118</v>
      </c>
      <c r="D21" s="8" t="s">
        <v>101</v>
      </c>
      <c r="E21" s="9" t="s">
        <v>102</v>
      </c>
      <c r="F21" s="8" t="s">
        <v>53</v>
      </c>
      <c r="G21" s="10" t="n">
        <v>210000</v>
      </c>
      <c r="H21" s="11" t="n">
        <v>0.65</v>
      </c>
      <c r="I21" s="12" t="n">
        <f aca="false">G21*H21</f>
        <v>136500</v>
      </c>
      <c r="J21" s="13" t="n">
        <v>45900</v>
      </c>
      <c r="K21" s="8" t="s">
        <v>19</v>
      </c>
      <c r="L21" s="8" t="s">
        <v>41</v>
      </c>
      <c r="M21" s="9"/>
    </row>
    <row r="22" customFormat="false" ht="15" hidden="false" customHeight="false" outlineLevel="0" collapsed="false">
      <c r="A22" s="2" t="s">
        <v>119</v>
      </c>
      <c r="B22" s="3" t="s">
        <v>120</v>
      </c>
      <c r="C22" s="3" t="s">
        <v>121</v>
      </c>
      <c r="D22" s="2" t="s">
        <v>101</v>
      </c>
      <c r="E22" s="3" t="s">
        <v>109</v>
      </c>
      <c r="F22" s="2" t="s">
        <v>18</v>
      </c>
      <c r="G22" s="4" t="n">
        <v>58000</v>
      </c>
      <c r="H22" s="5" t="n">
        <v>0.75</v>
      </c>
      <c r="I22" s="6" t="n">
        <f aca="false">G22*H22</f>
        <v>43500</v>
      </c>
      <c r="J22" s="7" t="n">
        <v>45853</v>
      </c>
      <c r="K22" s="2" t="s">
        <v>54</v>
      </c>
      <c r="L22" s="2" t="s">
        <v>20</v>
      </c>
      <c r="M22" s="3"/>
    </row>
    <row r="23" customFormat="false" ht="15" hidden="false" customHeight="false" outlineLevel="0" collapsed="false">
      <c r="A23" s="8" t="s">
        <v>122</v>
      </c>
      <c r="B23" s="9" t="s">
        <v>123</v>
      </c>
      <c r="C23" s="9" t="s">
        <v>124</v>
      </c>
      <c r="D23" s="8" t="s">
        <v>101</v>
      </c>
      <c r="E23" s="9" t="s">
        <v>102</v>
      </c>
      <c r="F23" s="8" t="s">
        <v>46</v>
      </c>
      <c r="G23" s="10" t="n">
        <v>18000</v>
      </c>
      <c r="H23" s="11" t="n">
        <v>0</v>
      </c>
      <c r="I23" s="12" t="n">
        <f aca="false">G23*H23</f>
        <v>0</v>
      </c>
      <c r="J23" s="13" t="n">
        <v>45778</v>
      </c>
      <c r="K23" s="8" t="s">
        <v>40</v>
      </c>
      <c r="L23" s="8" t="s">
        <v>41</v>
      </c>
      <c r="M23" s="9" t="s">
        <v>125</v>
      </c>
    </row>
    <row r="24" customFormat="false" ht="19.5" hidden="false" customHeight="true" outlineLevel="0" collapsed="false">
      <c r="A24" s="14" t="s">
        <v>126</v>
      </c>
      <c r="B24" s="14"/>
      <c r="C24" s="14"/>
      <c r="D24" s="14"/>
      <c r="E24" s="14"/>
      <c r="F24" s="14"/>
      <c r="G24" s="15" t="n">
        <f aca="false">SUM(G2:G23)</f>
        <v>2325000</v>
      </c>
      <c r="H24" s="14"/>
      <c r="I24" s="15" t="n">
        <f aca="false">SUM(I2:I23)</f>
        <v>1322150</v>
      </c>
      <c r="J24" s="14"/>
      <c r="K24" s="14"/>
      <c r="L24" s="14"/>
      <c r="M24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16" t="s">
        <v>127</v>
      </c>
      <c r="B1" s="16"/>
      <c r="C1" s="16"/>
      <c r="D1" s="16"/>
      <c r="E1" s="16"/>
      <c r="F1" s="16"/>
      <c r="G1" s="16"/>
      <c r="H1" s="16"/>
      <c r="I1" s="16"/>
      <c r="J1" s="16"/>
    </row>
    <row r="3" customFormat="false" ht="15" hidden="false" customHeight="true" outlineLevel="0" collapsed="false">
      <c r="A3" s="17" t="s">
        <v>128</v>
      </c>
      <c r="B3" s="17"/>
    </row>
    <row r="4" customFormat="false" ht="18" hidden="false" customHeight="true" outlineLevel="0" collapsed="false">
      <c r="A4" s="18" t="s">
        <v>129</v>
      </c>
      <c r="B4" s="19" t="n">
        <v>1.15</v>
      </c>
      <c r="C4" s="20" t="s">
        <v>130</v>
      </c>
    </row>
    <row r="5" customFormat="false" ht="18" hidden="false" customHeight="true" outlineLevel="0" collapsed="false">
      <c r="A5" s="18" t="s">
        <v>131</v>
      </c>
      <c r="B5" s="21" t="n">
        <v>0.15</v>
      </c>
      <c r="C5" s="20" t="s">
        <v>132</v>
      </c>
    </row>
    <row r="6" customFormat="false" ht="18" hidden="false" customHeight="true" outlineLevel="0" collapsed="false">
      <c r="A6" s="18" t="s">
        <v>133</v>
      </c>
      <c r="B6" s="22" t="n">
        <v>500000</v>
      </c>
      <c r="C6" s="20" t="s">
        <v>134</v>
      </c>
    </row>
    <row r="7" customFormat="false" ht="18" hidden="false" customHeight="true" outlineLevel="0" collapsed="false">
      <c r="A7" s="18" t="s">
        <v>135</v>
      </c>
      <c r="B7" s="23" t="n">
        <v>5</v>
      </c>
      <c r="C7" s="20" t="s">
        <v>136</v>
      </c>
    </row>
    <row r="8" customFormat="false" ht="9.75" hidden="false" customHeight="true" outlineLevel="0" collapsed="false"/>
    <row r="9" customFormat="false" ht="24" hidden="false" customHeight="true" outlineLevel="0" collapsed="false">
      <c r="A9" s="24" t="s">
        <v>137</v>
      </c>
      <c r="B9" s="24"/>
      <c r="C9" s="24"/>
      <c r="D9" s="24"/>
      <c r="E9" s="24"/>
      <c r="F9" s="24"/>
      <c r="G9" s="24"/>
      <c r="H9" s="24"/>
      <c r="I9" s="24"/>
      <c r="J9" s="24"/>
    </row>
    <row r="10" customFormat="false" ht="36" hidden="false" customHeight="true" outlineLevel="0" collapsed="false">
      <c r="A10" s="25" t="s">
        <v>3</v>
      </c>
      <c r="B10" s="25" t="s">
        <v>138</v>
      </c>
      <c r="C10" s="25" t="s">
        <v>139</v>
      </c>
      <c r="D10" s="25" t="s">
        <v>140</v>
      </c>
      <c r="E10" s="25" t="s">
        <v>141</v>
      </c>
      <c r="F10" s="25" t="s">
        <v>142</v>
      </c>
      <c r="G10" s="25" t="s">
        <v>143</v>
      </c>
      <c r="H10" s="25" t="s">
        <v>144</v>
      </c>
    </row>
    <row r="11" customFormat="false" ht="19.5" hidden="false" customHeight="true" outlineLevel="0" collapsed="false">
      <c r="A11" s="26" t="s">
        <v>16</v>
      </c>
      <c r="B11" s="27" t="n">
        <f aca="false">SUMPRODUCT(('Pipeline Data'!D$2:D$23="AMER")*('Pipeline Data'!F$2:F$23&lt;&gt;"Closed Lost")*('Pipeline Data'!G$2:G$23))</f>
        <v>752000</v>
      </c>
      <c r="C11" s="28" t="n">
        <f aca="false">COUNTIFS('Pipeline Data'!D$2:D$23,"AMER",'Pipeline Data'!F$2:F$23,"&lt;&gt;Closed Lost",'Pipeline Data'!F$2:F$23,"&lt;&gt;Closed Won")</f>
        <v>6</v>
      </c>
      <c r="D11" s="27" t="n">
        <f aca="false">SUMPRODUCT(('Pipeline Data'!D$2:D$23="AMER")*('Pipeline Data'!F$2:F$23&lt;&gt;"Closed Lost")*('Pipeline Data'!I$2:I$23))</f>
        <v>439900</v>
      </c>
      <c r="E11" s="29" t="n">
        <f aca="false">D11*$B$4</f>
        <v>505885</v>
      </c>
      <c r="F11" s="27" t="n">
        <f aca="false">$B$6*$B$7/3</f>
        <v>833333.333333333</v>
      </c>
      <c r="G11" s="30" t="n">
        <f aca="false">IF(F11=0,0,E11/F11)</f>
        <v>0.607062</v>
      </c>
      <c r="H11" s="27" t="n">
        <f aca="false">E11-F11</f>
        <v>-327448.333333333</v>
      </c>
    </row>
    <row r="12" customFormat="false" ht="19.5" hidden="false" customHeight="true" outlineLevel="0" collapsed="false">
      <c r="A12" s="31" t="s">
        <v>69</v>
      </c>
      <c r="B12" s="32" t="n">
        <f aca="false">SUMPRODUCT(('Pipeline Data'!D$2:D$23="EMEA")*('Pipeline Data'!F$2:F$23&lt;&gt;"Closed Lost")*('Pipeline Data'!G$2:G$23))</f>
        <v>793000</v>
      </c>
      <c r="C12" s="33" t="n">
        <f aca="false">COUNTIFS('Pipeline Data'!D$2:D$23,"EMEA",'Pipeline Data'!F$2:F$23,"&lt;&gt;Closed Lost",'Pipeline Data'!F$2:F$23,"&lt;&gt;Closed Won")</f>
        <v>5</v>
      </c>
      <c r="D12" s="32" t="n">
        <f aca="false">SUMPRODUCT(('Pipeline Data'!D$2:D$23="EMEA")*('Pipeline Data'!F$2:F$23&lt;&gt;"Closed Lost")*('Pipeline Data'!I$2:I$23))</f>
        <v>435500</v>
      </c>
      <c r="E12" s="34" t="n">
        <f aca="false">D12*$B$4</f>
        <v>500825</v>
      </c>
      <c r="F12" s="32" t="n">
        <f aca="false">$B$6*$B$7/3</f>
        <v>833333.333333333</v>
      </c>
      <c r="G12" s="35" t="n">
        <f aca="false">IF(F12=0,0,E12/F12)</f>
        <v>0.60099</v>
      </c>
      <c r="H12" s="32" t="n">
        <f aca="false">E12-F12</f>
        <v>-332508.333333333</v>
      </c>
    </row>
    <row r="13" customFormat="false" ht="19.5" hidden="false" customHeight="true" outlineLevel="0" collapsed="false">
      <c r="A13" s="26" t="s">
        <v>101</v>
      </c>
      <c r="B13" s="27" t="n">
        <f aca="false">SUMPRODUCT(('Pipeline Data'!D$2:D$23="APAC")*('Pipeline Data'!F$2:F$23&lt;&gt;"Closed Lost")*('Pipeline Data'!G$2:G$23))</f>
        <v>732000</v>
      </c>
      <c r="C13" s="28" t="n">
        <f aca="false">COUNTIFS('Pipeline Data'!D$2:D$23,"APAC",'Pipeline Data'!F$2:F$23,"&lt;&gt;Closed Lost",'Pipeline Data'!F$2:F$23,"&lt;&gt;Closed Won")</f>
        <v>5</v>
      </c>
      <c r="D13" s="27" t="n">
        <f aca="false">SUMPRODUCT(('Pipeline Data'!D$2:D$23="APAC")*('Pipeline Data'!F$2:F$23&lt;&gt;"Closed Lost")*('Pipeline Data'!I$2:I$23))</f>
        <v>446750</v>
      </c>
      <c r="E13" s="29" t="n">
        <f aca="false">D13*$B$4</f>
        <v>513762.5</v>
      </c>
      <c r="F13" s="27" t="n">
        <f aca="false">$B$6*$B$7/3</f>
        <v>833333.333333333</v>
      </c>
      <c r="G13" s="30" t="n">
        <f aca="false">IF(F13=0,0,E13/F13)</f>
        <v>0.616515</v>
      </c>
      <c r="H13" s="27" t="n">
        <f aca="false">E13-F13</f>
        <v>-319570.833333333</v>
      </c>
    </row>
    <row r="14" customFormat="false" ht="21.75" hidden="false" customHeight="true" outlineLevel="0" collapsed="false">
      <c r="A14" s="36" t="s">
        <v>145</v>
      </c>
      <c r="B14" s="37" t="n">
        <f aca="false">SUM(B11:B13)</f>
        <v>2277000</v>
      </c>
      <c r="C14" s="38" t="n">
        <f aca="false">SUM(C11:C13)</f>
        <v>16</v>
      </c>
      <c r="D14" s="37" t="n">
        <f aca="false">SUM(D11:D13)</f>
        <v>1322150</v>
      </c>
      <c r="E14" s="37" t="n">
        <f aca="false">SUM(E11:E13)</f>
        <v>1520472.5</v>
      </c>
      <c r="F14" s="37" t="n">
        <f aca="false">SUM(F11:F13)</f>
        <v>2500000</v>
      </c>
      <c r="G14" s="39" t="n">
        <f aca="false">SUM(G11:G13)</f>
        <v>1.824567</v>
      </c>
      <c r="H14" s="37" t="n">
        <f aca="false">SUM(H11:H13)</f>
        <v>-979527.5</v>
      </c>
    </row>
    <row r="15" customFormat="false" ht="9.75" hidden="false" customHeight="true" outlineLevel="0" collapsed="false"/>
    <row r="16" customFormat="false" ht="24" hidden="false" customHeight="true" outlineLevel="0" collapsed="false">
      <c r="A16" s="24" t="s">
        <v>146</v>
      </c>
      <c r="B16" s="24"/>
      <c r="C16" s="24"/>
      <c r="D16" s="24"/>
      <c r="E16" s="24"/>
      <c r="F16" s="24"/>
      <c r="G16" s="24"/>
      <c r="H16" s="24"/>
      <c r="I16" s="24"/>
      <c r="J16" s="24"/>
    </row>
    <row r="17" customFormat="false" ht="36" hidden="false" customHeight="true" outlineLevel="0" collapsed="false">
      <c r="A17" s="25" t="s">
        <v>4</v>
      </c>
      <c r="B17" s="25" t="s">
        <v>3</v>
      </c>
      <c r="C17" s="25" t="s">
        <v>147</v>
      </c>
      <c r="D17" s="25" t="s">
        <v>148</v>
      </c>
      <c r="E17" s="25" t="s">
        <v>149</v>
      </c>
      <c r="F17" s="25" t="s">
        <v>150</v>
      </c>
      <c r="G17" s="25" t="s">
        <v>143</v>
      </c>
    </row>
    <row r="18" customFormat="false" ht="19.5" hidden="false" customHeight="true" outlineLevel="0" collapsed="false">
      <c r="A18" s="40" t="s">
        <v>17</v>
      </c>
      <c r="B18" s="3" t="s">
        <v>16</v>
      </c>
      <c r="C18" s="41" t="n">
        <f aca="false">SUMPRODUCT(('Pipeline Data'!E$2:E$23="James Okafor")*('Pipeline Data'!F$2:F$23="Closed Won")*('Pipeline Data'!G$2:G$23))</f>
        <v>85000</v>
      </c>
      <c r="D18" s="41" t="n">
        <f aca="false">SUMPRODUCT(('Pipeline Data'!E$2:E$23="James Okafor")*('Pipeline Data'!F$2:F$23&lt;&gt;"Closed Won")*('Pipeline Data'!F$2:F$23&lt;&gt;"Closed Lost")*('Pipeline Data'!I$2:I$23))</f>
        <v>90000</v>
      </c>
      <c r="E18" s="42" t="n">
        <f aca="false">C18+D18*$B$4</f>
        <v>188500</v>
      </c>
      <c r="F18" s="41" t="n">
        <f aca="false">$B$6</f>
        <v>500000</v>
      </c>
      <c r="G18" s="43" t="n">
        <f aca="false">IF(F18=0,0,E18/F18)</f>
        <v>0.377</v>
      </c>
    </row>
    <row r="19" customFormat="false" ht="19.5" hidden="false" customHeight="true" outlineLevel="0" collapsed="false">
      <c r="A19" s="44" t="s">
        <v>31</v>
      </c>
      <c r="B19" s="9" t="s">
        <v>16</v>
      </c>
      <c r="C19" s="27" t="n">
        <f aca="false">SUMPRODUCT(('Pipeline Data'!E$2:E$23="Sarah Nwachukwu")*('Pipeline Data'!F$2:F$23="Closed Won")*('Pipeline Data'!G$2:G$23))</f>
        <v>0</v>
      </c>
      <c r="D19" s="27" t="n">
        <f aca="false">SUMPRODUCT(('Pipeline Data'!E$2:E$23="Sarah Nwachukwu")*('Pipeline Data'!F$2:F$23&lt;&gt;"Closed Won")*('Pipeline Data'!F$2:F$23&lt;&gt;"Closed Lost")*('Pipeline Data'!I$2:I$23))</f>
        <v>198750</v>
      </c>
      <c r="E19" s="29" t="n">
        <f aca="false">C19+D19*$B$4</f>
        <v>228562.5</v>
      </c>
      <c r="F19" s="27" t="n">
        <f aca="false">$B$6</f>
        <v>500000</v>
      </c>
      <c r="G19" s="30" t="n">
        <f aca="false">IF(F19=0,0,E19/F19)</f>
        <v>0.457125</v>
      </c>
    </row>
    <row r="20" customFormat="false" ht="19.5" hidden="false" customHeight="true" outlineLevel="0" collapsed="false">
      <c r="A20" s="40" t="s">
        <v>52</v>
      </c>
      <c r="B20" s="3" t="s">
        <v>16</v>
      </c>
      <c r="C20" s="41" t="n">
        <f aca="false">SUMPRODUCT(('Pipeline Data'!E$2:E$23="Carlos Diaz")*('Pipeline Data'!F$2:F$23="Closed Won")*('Pipeline Data'!G$2:G$23))</f>
        <v>0</v>
      </c>
      <c r="D20" s="41" t="n">
        <f aca="false">SUMPRODUCT(('Pipeline Data'!E$2:E$23="Carlos Diaz")*('Pipeline Data'!F$2:F$23&lt;&gt;"Closed Won")*('Pipeline Data'!F$2:F$23&lt;&gt;"Closed Lost")*('Pipeline Data'!I$2:I$23))</f>
        <v>66150</v>
      </c>
      <c r="E20" s="42" t="n">
        <f aca="false">C20+D20*$B$4</f>
        <v>76072.5</v>
      </c>
      <c r="F20" s="41" t="n">
        <f aca="false">$B$6</f>
        <v>500000</v>
      </c>
      <c r="G20" s="43" t="n">
        <f aca="false">IF(F20=0,0,E20/F20)</f>
        <v>0.152145</v>
      </c>
    </row>
    <row r="21" customFormat="false" ht="19.5" hidden="false" customHeight="true" outlineLevel="0" collapsed="false">
      <c r="A21" s="44" t="s">
        <v>70</v>
      </c>
      <c r="B21" s="9" t="s">
        <v>69</v>
      </c>
      <c r="C21" s="27" t="n">
        <f aca="false">SUMPRODUCT(('Pipeline Data'!E$2:E$23="Priya Sharma")*('Pipeline Data'!F$2:F$23="Closed Won")*('Pipeline Data'!G$2:G$23))</f>
        <v>110000</v>
      </c>
      <c r="D21" s="27" t="n">
        <f aca="false">SUMPRODUCT(('Pipeline Data'!E$2:E$23="Priya Sharma")*('Pipeline Data'!F$2:F$23&lt;&gt;"Closed Won")*('Pipeline Data'!F$2:F$23&lt;&gt;"Closed Lost")*('Pipeline Data'!I$2:I$23))</f>
        <v>147500</v>
      </c>
      <c r="E21" s="29" t="n">
        <f aca="false">C21+D21*$B$4</f>
        <v>279625</v>
      </c>
      <c r="F21" s="27" t="n">
        <f aca="false">$B$6</f>
        <v>500000</v>
      </c>
      <c r="G21" s="30" t="n">
        <f aca="false">IF(F21=0,0,E21/F21)</f>
        <v>0.55925</v>
      </c>
    </row>
    <row r="22" customFormat="false" ht="19.5" hidden="false" customHeight="true" outlineLevel="0" collapsed="false">
      <c r="A22" s="40" t="s">
        <v>79</v>
      </c>
      <c r="B22" s="3" t="s">
        <v>69</v>
      </c>
      <c r="C22" s="41" t="n">
        <f aca="false">SUMPRODUCT(('Pipeline Data'!E$2:E$23="Tobias Müller")*('Pipeline Data'!F$2:F$23="Closed Won")*('Pipeline Data'!G$2:G$23))</f>
        <v>62000</v>
      </c>
      <c r="D22" s="41" t="n">
        <f aca="false">SUMPRODUCT(('Pipeline Data'!E$2:E$23="Tobias Müller")*('Pipeline Data'!F$2:F$23&lt;&gt;"Closed Won")*('Pipeline Data'!F$2:F$23&lt;&gt;"Closed Lost")*('Pipeline Data'!I$2:I$23))</f>
        <v>116000</v>
      </c>
      <c r="E22" s="42" t="n">
        <f aca="false">C22+D22*$B$4</f>
        <v>195400</v>
      </c>
      <c r="F22" s="41" t="n">
        <f aca="false">$B$6</f>
        <v>500000</v>
      </c>
      <c r="G22" s="43" t="n">
        <f aca="false">IF(F22=0,0,E22/F22)</f>
        <v>0.3908</v>
      </c>
    </row>
    <row r="23" customFormat="false" ht="19.5" hidden="false" customHeight="true" outlineLevel="0" collapsed="false">
      <c r="A23" s="44" t="s">
        <v>102</v>
      </c>
      <c r="B23" s="9" t="s">
        <v>101</v>
      </c>
      <c r="C23" s="27" t="n">
        <f aca="false">SUMPRODUCT(('Pipeline Data'!E$2:E$23="Lin Wei")*('Pipeline Data'!F$2:F$23="Closed Won")*('Pipeline Data'!G$2:G$23))</f>
        <v>130000</v>
      </c>
      <c r="D23" s="27" t="n">
        <f aca="false">SUMPRODUCT(('Pipeline Data'!E$2:E$23="Lin Wei")*('Pipeline Data'!F$2:F$23&lt;&gt;"Closed Won")*('Pipeline Data'!F$2:F$23&lt;&gt;"Closed Lost")*('Pipeline Data'!I$2:I$23))</f>
        <v>194250</v>
      </c>
      <c r="E23" s="29" t="n">
        <f aca="false">C23+D23*$B$4</f>
        <v>353387.5</v>
      </c>
      <c r="F23" s="27" t="n">
        <f aca="false">$B$6</f>
        <v>500000</v>
      </c>
      <c r="G23" s="30" t="n">
        <f aca="false">IF(F23=0,0,E23/F23)</f>
        <v>0.706775</v>
      </c>
    </row>
    <row r="24" customFormat="false" ht="19.5" hidden="false" customHeight="true" outlineLevel="0" collapsed="false">
      <c r="A24" s="40" t="s">
        <v>109</v>
      </c>
      <c r="B24" s="3" t="s">
        <v>101</v>
      </c>
      <c r="C24" s="41" t="n">
        <f aca="false">SUMPRODUCT(('Pipeline Data'!E$2:E$23="Raj Patel")*('Pipeline Data'!F$2:F$23="Closed Won")*('Pipeline Data'!G$2:G$23))</f>
        <v>0</v>
      </c>
      <c r="D24" s="41" t="n">
        <f aca="false">SUMPRODUCT(('Pipeline Data'!E$2:E$23="Raj Patel")*('Pipeline Data'!F$2:F$23&lt;&gt;"Closed Won")*('Pipeline Data'!F$2:F$23&lt;&gt;"Closed Lost")*('Pipeline Data'!I$2:I$23))</f>
        <v>122500</v>
      </c>
      <c r="E24" s="42" t="n">
        <f aca="false">C24+D24*$B$4</f>
        <v>140875</v>
      </c>
      <c r="F24" s="41" t="n">
        <f aca="false">$B$6</f>
        <v>500000</v>
      </c>
      <c r="G24" s="43" t="n">
        <f aca="false">IF(F24=0,0,E24/F24)</f>
        <v>0.28175</v>
      </c>
    </row>
    <row r="25" customFormat="false" ht="21.75" hidden="false" customHeight="true" outlineLevel="0" collapsed="false">
      <c r="A25" s="36" t="s">
        <v>145</v>
      </c>
      <c r="B25" s="45"/>
      <c r="C25" s="37" t="n">
        <f aca="false">SUM(C18:C24)</f>
        <v>387000</v>
      </c>
      <c r="D25" s="37" t="n">
        <f aca="false">SUM(D18:D24)</f>
        <v>935150</v>
      </c>
      <c r="E25" s="37" t="n">
        <f aca="false">SUM(E18:E24)</f>
        <v>1462422.5</v>
      </c>
      <c r="F25" s="37" t="n">
        <f aca="false">SUM(F18:F24)</f>
        <v>3500000</v>
      </c>
      <c r="G25" s="39" t="n">
        <f aca="false">IF(F25=0,0,E25/F25)</f>
        <v>0.417835</v>
      </c>
    </row>
  </sheetData>
  <mergeCells count="4">
    <mergeCell ref="A1:J1"/>
    <mergeCell ref="A3:B3"/>
    <mergeCell ref="A9:J9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46" t="s">
        <v>151</v>
      </c>
      <c r="B1" s="46"/>
      <c r="C1" s="46"/>
      <c r="D1" s="46"/>
      <c r="E1" s="46"/>
      <c r="F1" s="46"/>
      <c r="G1" s="46"/>
      <c r="H1" s="46"/>
      <c r="I1" s="46"/>
      <c r="J1" s="46"/>
    </row>
    <row r="3" customFormat="false" ht="15" hidden="false" customHeight="true" outlineLevel="0" collapsed="false">
      <c r="A3" s="17" t="s">
        <v>128</v>
      </c>
      <c r="B3" s="17"/>
    </row>
    <row r="4" customFormat="false" ht="18" hidden="false" customHeight="true" outlineLevel="0" collapsed="false">
      <c r="A4" s="18" t="s">
        <v>129</v>
      </c>
      <c r="B4" s="19" t="n">
        <v>0.8</v>
      </c>
      <c r="C4" s="20" t="s">
        <v>152</v>
      </c>
    </row>
    <row r="5" customFormat="false" ht="18" hidden="false" customHeight="true" outlineLevel="0" collapsed="false">
      <c r="A5" s="18" t="s">
        <v>131</v>
      </c>
      <c r="B5" s="21" t="n">
        <v>-0.2</v>
      </c>
      <c r="C5" s="20" t="s">
        <v>153</v>
      </c>
    </row>
    <row r="6" customFormat="false" ht="18" hidden="false" customHeight="true" outlineLevel="0" collapsed="false">
      <c r="A6" s="18" t="s">
        <v>133</v>
      </c>
      <c r="B6" s="22" t="n">
        <v>500000</v>
      </c>
      <c r="C6" s="20" t="s">
        <v>134</v>
      </c>
    </row>
    <row r="7" customFormat="false" ht="18" hidden="false" customHeight="true" outlineLevel="0" collapsed="false">
      <c r="A7" s="18" t="s">
        <v>135</v>
      </c>
      <c r="B7" s="23" t="n">
        <v>5</v>
      </c>
      <c r="C7" s="20" t="s">
        <v>136</v>
      </c>
    </row>
    <row r="8" customFormat="false" ht="9.75" hidden="false" customHeight="true" outlineLevel="0" collapsed="false"/>
    <row r="9" customFormat="false" ht="24" hidden="false" customHeight="true" outlineLevel="0" collapsed="false">
      <c r="A9" s="24" t="s">
        <v>137</v>
      </c>
      <c r="B9" s="24"/>
      <c r="C9" s="24"/>
      <c r="D9" s="24"/>
      <c r="E9" s="24"/>
      <c r="F9" s="24"/>
      <c r="G9" s="24"/>
      <c r="H9" s="24"/>
      <c r="I9" s="24"/>
      <c r="J9" s="24"/>
    </row>
    <row r="10" customFormat="false" ht="36" hidden="false" customHeight="true" outlineLevel="0" collapsed="false">
      <c r="A10" s="25" t="s">
        <v>3</v>
      </c>
      <c r="B10" s="25" t="s">
        <v>138</v>
      </c>
      <c r="C10" s="25" t="s">
        <v>139</v>
      </c>
      <c r="D10" s="25" t="s">
        <v>140</v>
      </c>
      <c r="E10" s="25" t="s">
        <v>154</v>
      </c>
      <c r="F10" s="25" t="s">
        <v>142</v>
      </c>
      <c r="G10" s="25" t="s">
        <v>143</v>
      </c>
      <c r="H10" s="25" t="s">
        <v>144</v>
      </c>
    </row>
    <row r="11" customFormat="false" ht="19.5" hidden="false" customHeight="true" outlineLevel="0" collapsed="false">
      <c r="A11" s="26" t="s">
        <v>16</v>
      </c>
      <c r="B11" s="27" t="n">
        <f aca="false">SUMPRODUCT(('Pipeline Data'!D$2:D$23="AMER")*('Pipeline Data'!F$2:F$23&lt;&gt;"Closed Lost")*('Pipeline Data'!G$2:G$23))</f>
        <v>752000</v>
      </c>
      <c r="C11" s="28" t="n">
        <f aca="false">COUNTIFS('Pipeline Data'!D$2:D$23,"AMER",'Pipeline Data'!F$2:F$23,"&lt;&gt;Closed Lost",'Pipeline Data'!F$2:F$23,"&lt;&gt;Closed Won")</f>
        <v>6</v>
      </c>
      <c r="D11" s="27" t="n">
        <f aca="false">SUMPRODUCT(('Pipeline Data'!D$2:D$23="AMER")*('Pipeline Data'!F$2:F$23&lt;&gt;"Closed Lost")*('Pipeline Data'!I$2:I$23))</f>
        <v>439900</v>
      </c>
      <c r="E11" s="29" t="n">
        <f aca="false">D11*$B$4</f>
        <v>351920</v>
      </c>
      <c r="F11" s="27" t="n">
        <f aca="false">$B$6*$B$7/3</f>
        <v>833333.333333333</v>
      </c>
      <c r="G11" s="30" t="n">
        <f aca="false">IF(F11=0,0,E11/F11)</f>
        <v>0.422304</v>
      </c>
      <c r="H11" s="27" t="n">
        <f aca="false">E11-F11</f>
        <v>-481413.333333333</v>
      </c>
    </row>
    <row r="12" customFormat="false" ht="19.5" hidden="false" customHeight="true" outlineLevel="0" collapsed="false">
      <c r="A12" s="31" t="s">
        <v>69</v>
      </c>
      <c r="B12" s="32" t="n">
        <f aca="false">SUMPRODUCT(('Pipeline Data'!D$2:D$23="EMEA")*('Pipeline Data'!F$2:F$23&lt;&gt;"Closed Lost")*('Pipeline Data'!G$2:G$23))</f>
        <v>793000</v>
      </c>
      <c r="C12" s="33" t="n">
        <f aca="false">COUNTIFS('Pipeline Data'!D$2:D$23,"EMEA",'Pipeline Data'!F$2:F$23,"&lt;&gt;Closed Lost",'Pipeline Data'!F$2:F$23,"&lt;&gt;Closed Won")</f>
        <v>5</v>
      </c>
      <c r="D12" s="32" t="n">
        <f aca="false">SUMPRODUCT(('Pipeline Data'!D$2:D$23="EMEA")*('Pipeline Data'!F$2:F$23&lt;&gt;"Closed Lost")*('Pipeline Data'!I$2:I$23))</f>
        <v>435500</v>
      </c>
      <c r="E12" s="34" t="n">
        <f aca="false">D12*$B$4</f>
        <v>348400</v>
      </c>
      <c r="F12" s="32" t="n">
        <f aca="false">$B$6*$B$7/3</f>
        <v>833333.333333333</v>
      </c>
      <c r="G12" s="35" t="n">
        <f aca="false">IF(F12=0,0,E12/F12)</f>
        <v>0.41808</v>
      </c>
      <c r="H12" s="32" t="n">
        <f aca="false">E12-F12</f>
        <v>-484933.333333333</v>
      </c>
    </row>
    <row r="13" customFormat="false" ht="19.5" hidden="false" customHeight="true" outlineLevel="0" collapsed="false">
      <c r="A13" s="26" t="s">
        <v>101</v>
      </c>
      <c r="B13" s="27" t="n">
        <f aca="false">SUMPRODUCT(('Pipeline Data'!D$2:D$23="APAC")*('Pipeline Data'!F$2:F$23&lt;&gt;"Closed Lost")*('Pipeline Data'!G$2:G$23))</f>
        <v>732000</v>
      </c>
      <c r="C13" s="28" t="n">
        <f aca="false">COUNTIFS('Pipeline Data'!D$2:D$23,"APAC",'Pipeline Data'!F$2:F$23,"&lt;&gt;Closed Lost",'Pipeline Data'!F$2:F$23,"&lt;&gt;Closed Won")</f>
        <v>5</v>
      </c>
      <c r="D13" s="27" t="n">
        <f aca="false">SUMPRODUCT(('Pipeline Data'!D$2:D$23="APAC")*('Pipeline Data'!F$2:F$23&lt;&gt;"Closed Lost")*('Pipeline Data'!I$2:I$23))</f>
        <v>446750</v>
      </c>
      <c r="E13" s="29" t="n">
        <f aca="false">D13*$B$4</f>
        <v>357400</v>
      </c>
      <c r="F13" s="27" t="n">
        <f aca="false">$B$6*$B$7/3</f>
        <v>833333.333333333</v>
      </c>
      <c r="G13" s="30" t="n">
        <f aca="false">IF(F13=0,0,E13/F13)</f>
        <v>0.42888</v>
      </c>
      <c r="H13" s="27" t="n">
        <f aca="false">E13-F13</f>
        <v>-475933.333333333</v>
      </c>
    </row>
    <row r="14" customFormat="false" ht="21.75" hidden="false" customHeight="true" outlineLevel="0" collapsed="false">
      <c r="A14" s="36" t="s">
        <v>145</v>
      </c>
      <c r="B14" s="37" t="n">
        <f aca="false">SUM(B11:B13)</f>
        <v>2277000</v>
      </c>
      <c r="C14" s="38" t="n">
        <f aca="false">SUM(C11:C13)</f>
        <v>16</v>
      </c>
      <c r="D14" s="37" t="n">
        <f aca="false">SUM(D11:D13)</f>
        <v>1322150</v>
      </c>
      <c r="E14" s="37" t="n">
        <f aca="false">SUM(E11:E13)</f>
        <v>1057720</v>
      </c>
      <c r="F14" s="37" t="n">
        <f aca="false">SUM(F11:F13)</f>
        <v>2500000</v>
      </c>
      <c r="G14" s="39" t="n">
        <f aca="false">SUM(G11:G13)</f>
        <v>1.269264</v>
      </c>
      <c r="H14" s="37" t="n">
        <f aca="false">SUM(H11:H13)</f>
        <v>-1442280</v>
      </c>
    </row>
    <row r="15" customFormat="false" ht="9.75" hidden="false" customHeight="true" outlineLevel="0" collapsed="false"/>
    <row r="16" customFormat="false" ht="24" hidden="false" customHeight="true" outlineLevel="0" collapsed="false">
      <c r="A16" s="24" t="s">
        <v>146</v>
      </c>
      <c r="B16" s="24"/>
      <c r="C16" s="24"/>
      <c r="D16" s="24"/>
      <c r="E16" s="24"/>
      <c r="F16" s="24"/>
      <c r="G16" s="24"/>
      <c r="H16" s="24"/>
      <c r="I16" s="24"/>
      <c r="J16" s="24"/>
    </row>
    <row r="17" customFormat="false" ht="36" hidden="false" customHeight="true" outlineLevel="0" collapsed="false">
      <c r="A17" s="25" t="s">
        <v>4</v>
      </c>
      <c r="B17" s="25" t="s">
        <v>3</v>
      </c>
      <c r="C17" s="25" t="s">
        <v>147</v>
      </c>
      <c r="D17" s="25" t="s">
        <v>148</v>
      </c>
      <c r="E17" s="25" t="s">
        <v>155</v>
      </c>
      <c r="F17" s="25" t="s">
        <v>150</v>
      </c>
      <c r="G17" s="25" t="s">
        <v>143</v>
      </c>
    </row>
    <row r="18" customFormat="false" ht="19.5" hidden="false" customHeight="true" outlineLevel="0" collapsed="false">
      <c r="A18" s="40" t="s">
        <v>17</v>
      </c>
      <c r="B18" s="3" t="s">
        <v>16</v>
      </c>
      <c r="C18" s="41" t="n">
        <f aca="false">SUMPRODUCT(('Pipeline Data'!E$2:E$23="James Okafor")*('Pipeline Data'!F$2:F$23="Closed Won")*('Pipeline Data'!G$2:G$23))</f>
        <v>85000</v>
      </c>
      <c r="D18" s="41" t="n">
        <f aca="false">SUMPRODUCT(('Pipeline Data'!E$2:E$23="James Okafor")*('Pipeline Data'!F$2:F$23&lt;&gt;"Closed Won")*('Pipeline Data'!F$2:F$23&lt;&gt;"Closed Lost")*('Pipeline Data'!I$2:I$23))</f>
        <v>90000</v>
      </c>
      <c r="E18" s="42" t="n">
        <f aca="false">C18+D18*$B$4</f>
        <v>157000</v>
      </c>
      <c r="F18" s="41" t="n">
        <f aca="false">$B$6</f>
        <v>500000</v>
      </c>
      <c r="G18" s="43" t="n">
        <f aca="false">IF(F18=0,0,E18/F18)</f>
        <v>0.314</v>
      </c>
    </row>
    <row r="19" customFormat="false" ht="19.5" hidden="false" customHeight="true" outlineLevel="0" collapsed="false">
      <c r="A19" s="44" t="s">
        <v>31</v>
      </c>
      <c r="B19" s="9" t="s">
        <v>16</v>
      </c>
      <c r="C19" s="27" t="n">
        <f aca="false">SUMPRODUCT(('Pipeline Data'!E$2:E$23="Sarah Nwachukwu")*('Pipeline Data'!F$2:F$23="Closed Won")*('Pipeline Data'!G$2:G$23))</f>
        <v>0</v>
      </c>
      <c r="D19" s="27" t="n">
        <f aca="false">SUMPRODUCT(('Pipeline Data'!E$2:E$23="Sarah Nwachukwu")*('Pipeline Data'!F$2:F$23&lt;&gt;"Closed Won")*('Pipeline Data'!F$2:F$23&lt;&gt;"Closed Lost")*('Pipeline Data'!I$2:I$23))</f>
        <v>198750</v>
      </c>
      <c r="E19" s="29" t="n">
        <f aca="false">C19+D19*$B$4</f>
        <v>159000</v>
      </c>
      <c r="F19" s="27" t="n">
        <f aca="false">$B$6</f>
        <v>500000</v>
      </c>
      <c r="G19" s="30" t="n">
        <f aca="false">IF(F19=0,0,E19/F19)</f>
        <v>0.318</v>
      </c>
    </row>
    <row r="20" customFormat="false" ht="19.5" hidden="false" customHeight="true" outlineLevel="0" collapsed="false">
      <c r="A20" s="40" t="s">
        <v>52</v>
      </c>
      <c r="B20" s="3" t="s">
        <v>16</v>
      </c>
      <c r="C20" s="41" t="n">
        <f aca="false">SUMPRODUCT(('Pipeline Data'!E$2:E$23="Carlos Diaz")*('Pipeline Data'!F$2:F$23="Closed Won")*('Pipeline Data'!G$2:G$23))</f>
        <v>0</v>
      </c>
      <c r="D20" s="41" t="n">
        <f aca="false">SUMPRODUCT(('Pipeline Data'!E$2:E$23="Carlos Diaz")*('Pipeline Data'!F$2:F$23&lt;&gt;"Closed Won")*('Pipeline Data'!F$2:F$23&lt;&gt;"Closed Lost")*('Pipeline Data'!I$2:I$23))</f>
        <v>66150</v>
      </c>
      <c r="E20" s="42" t="n">
        <f aca="false">C20+D20*$B$4</f>
        <v>52920</v>
      </c>
      <c r="F20" s="41" t="n">
        <f aca="false">$B$6</f>
        <v>500000</v>
      </c>
      <c r="G20" s="43" t="n">
        <f aca="false">IF(F20=0,0,E20/F20)</f>
        <v>0.10584</v>
      </c>
    </row>
    <row r="21" customFormat="false" ht="19.5" hidden="false" customHeight="true" outlineLevel="0" collapsed="false">
      <c r="A21" s="44" t="s">
        <v>70</v>
      </c>
      <c r="B21" s="9" t="s">
        <v>69</v>
      </c>
      <c r="C21" s="27" t="n">
        <f aca="false">SUMPRODUCT(('Pipeline Data'!E$2:E$23="Priya Sharma")*('Pipeline Data'!F$2:F$23="Closed Won")*('Pipeline Data'!G$2:G$23))</f>
        <v>110000</v>
      </c>
      <c r="D21" s="27" t="n">
        <f aca="false">SUMPRODUCT(('Pipeline Data'!E$2:E$23="Priya Sharma")*('Pipeline Data'!F$2:F$23&lt;&gt;"Closed Won")*('Pipeline Data'!F$2:F$23&lt;&gt;"Closed Lost")*('Pipeline Data'!I$2:I$23))</f>
        <v>147500</v>
      </c>
      <c r="E21" s="29" t="n">
        <f aca="false">C21+D21*$B$4</f>
        <v>228000</v>
      </c>
      <c r="F21" s="27" t="n">
        <f aca="false">$B$6</f>
        <v>500000</v>
      </c>
      <c r="G21" s="30" t="n">
        <f aca="false">IF(F21=0,0,E21/F21)</f>
        <v>0.456</v>
      </c>
    </row>
    <row r="22" customFormat="false" ht="19.5" hidden="false" customHeight="true" outlineLevel="0" collapsed="false">
      <c r="A22" s="40" t="s">
        <v>79</v>
      </c>
      <c r="B22" s="3" t="s">
        <v>69</v>
      </c>
      <c r="C22" s="41" t="n">
        <f aca="false">SUMPRODUCT(('Pipeline Data'!E$2:E$23="Tobias Müller")*('Pipeline Data'!F$2:F$23="Closed Won")*('Pipeline Data'!G$2:G$23))</f>
        <v>62000</v>
      </c>
      <c r="D22" s="41" t="n">
        <f aca="false">SUMPRODUCT(('Pipeline Data'!E$2:E$23="Tobias Müller")*('Pipeline Data'!F$2:F$23&lt;&gt;"Closed Won")*('Pipeline Data'!F$2:F$23&lt;&gt;"Closed Lost")*('Pipeline Data'!I$2:I$23))</f>
        <v>116000</v>
      </c>
      <c r="E22" s="42" t="n">
        <f aca="false">C22+D22*$B$4</f>
        <v>154800</v>
      </c>
      <c r="F22" s="41" t="n">
        <f aca="false">$B$6</f>
        <v>500000</v>
      </c>
      <c r="G22" s="43" t="n">
        <f aca="false">IF(F22=0,0,E22/F22)</f>
        <v>0.3096</v>
      </c>
    </row>
    <row r="23" customFormat="false" ht="19.5" hidden="false" customHeight="true" outlineLevel="0" collapsed="false">
      <c r="A23" s="44" t="s">
        <v>102</v>
      </c>
      <c r="B23" s="9" t="s">
        <v>101</v>
      </c>
      <c r="C23" s="27" t="n">
        <f aca="false">SUMPRODUCT(('Pipeline Data'!E$2:E$23="Lin Wei")*('Pipeline Data'!F$2:F$23="Closed Won")*('Pipeline Data'!G$2:G$23))</f>
        <v>130000</v>
      </c>
      <c r="D23" s="27" t="n">
        <f aca="false">SUMPRODUCT(('Pipeline Data'!E$2:E$23="Lin Wei")*('Pipeline Data'!F$2:F$23&lt;&gt;"Closed Won")*('Pipeline Data'!F$2:F$23&lt;&gt;"Closed Lost")*('Pipeline Data'!I$2:I$23))</f>
        <v>194250</v>
      </c>
      <c r="E23" s="29" t="n">
        <f aca="false">C23+D23*$B$4</f>
        <v>285400</v>
      </c>
      <c r="F23" s="27" t="n">
        <f aca="false">$B$6</f>
        <v>500000</v>
      </c>
      <c r="G23" s="30" t="n">
        <f aca="false">IF(F23=0,0,E23/F23)</f>
        <v>0.5708</v>
      </c>
    </row>
    <row r="24" customFormat="false" ht="19.5" hidden="false" customHeight="true" outlineLevel="0" collapsed="false">
      <c r="A24" s="40" t="s">
        <v>109</v>
      </c>
      <c r="B24" s="3" t="s">
        <v>101</v>
      </c>
      <c r="C24" s="41" t="n">
        <f aca="false">SUMPRODUCT(('Pipeline Data'!E$2:E$23="Raj Patel")*('Pipeline Data'!F$2:F$23="Closed Won")*('Pipeline Data'!G$2:G$23))</f>
        <v>0</v>
      </c>
      <c r="D24" s="41" t="n">
        <f aca="false">SUMPRODUCT(('Pipeline Data'!E$2:E$23="Raj Patel")*('Pipeline Data'!F$2:F$23&lt;&gt;"Closed Won")*('Pipeline Data'!F$2:F$23&lt;&gt;"Closed Lost")*('Pipeline Data'!I$2:I$23))</f>
        <v>122500</v>
      </c>
      <c r="E24" s="42" t="n">
        <f aca="false">C24+D24*$B$4</f>
        <v>98000</v>
      </c>
      <c r="F24" s="41" t="n">
        <f aca="false">$B$6</f>
        <v>500000</v>
      </c>
      <c r="G24" s="43" t="n">
        <f aca="false">IF(F24=0,0,E24/F24)</f>
        <v>0.196</v>
      </c>
    </row>
    <row r="25" customFormat="false" ht="21.75" hidden="false" customHeight="true" outlineLevel="0" collapsed="false">
      <c r="A25" s="36" t="s">
        <v>145</v>
      </c>
      <c r="B25" s="45"/>
      <c r="C25" s="37" t="n">
        <f aca="false">SUM(C18:C24)</f>
        <v>387000</v>
      </c>
      <c r="D25" s="37" t="n">
        <f aca="false">SUM(D18:D24)</f>
        <v>935150</v>
      </c>
      <c r="E25" s="37" t="n">
        <f aca="false">SUM(E18:E24)</f>
        <v>1135120</v>
      </c>
      <c r="F25" s="37" t="n">
        <f aca="false">SUM(F18:F24)</f>
        <v>3500000</v>
      </c>
      <c r="G25" s="39" t="n">
        <f aca="false">IF(F25=0,0,E25/F25)</f>
        <v>0.32432</v>
      </c>
    </row>
  </sheetData>
  <mergeCells count="4">
    <mergeCell ref="A1:J1"/>
    <mergeCell ref="A3:B3"/>
    <mergeCell ref="A9:J9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47" t="s">
        <v>156</v>
      </c>
      <c r="B1" s="47"/>
      <c r="C1" s="47"/>
      <c r="D1" s="47"/>
      <c r="E1" s="47"/>
      <c r="F1" s="47"/>
      <c r="G1" s="47"/>
      <c r="H1" s="47"/>
      <c r="I1" s="47"/>
      <c r="J1" s="47"/>
    </row>
    <row r="3" customFormat="false" ht="15" hidden="false" customHeight="true" outlineLevel="0" collapsed="false">
      <c r="A3" s="17" t="s">
        <v>128</v>
      </c>
      <c r="B3" s="17"/>
    </row>
    <row r="4" customFormat="false" ht="18" hidden="false" customHeight="true" outlineLevel="0" collapsed="false">
      <c r="A4" s="18" t="s">
        <v>129</v>
      </c>
      <c r="B4" s="19" t="n">
        <v>1</v>
      </c>
      <c r="C4" s="20" t="s">
        <v>157</v>
      </c>
    </row>
    <row r="5" customFormat="false" ht="18" hidden="false" customHeight="true" outlineLevel="0" collapsed="false">
      <c r="A5" s="18" t="s">
        <v>131</v>
      </c>
      <c r="B5" s="21" t="n">
        <v>0</v>
      </c>
      <c r="C5" s="20" t="s">
        <v>158</v>
      </c>
    </row>
    <row r="6" customFormat="false" ht="18" hidden="false" customHeight="true" outlineLevel="0" collapsed="false">
      <c r="A6" s="18" t="s">
        <v>133</v>
      </c>
      <c r="B6" s="22" t="n">
        <v>500000</v>
      </c>
      <c r="C6" s="20" t="s">
        <v>134</v>
      </c>
    </row>
    <row r="7" customFormat="false" ht="18" hidden="false" customHeight="true" outlineLevel="0" collapsed="false">
      <c r="A7" s="18" t="s">
        <v>135</v>
      </c>
      <c r="B7" s="23" t="n">
        <v>5</v>
      </c>
      <c r="C7" s="20" t="s">
        <v>136</v>
      </c>
    </row>
    <row r="8" customFormat="false" ht="9.75" hidden="false" customHeight="true" outlineLevel="0" collapsed="false"/>
    <row r="9" customFormat="false" ht="24" hidden="false" customHeight="true" outlineLevel="0" collapsed="false">
      <c r="A9" s="24" t="s">
        <v>137</v>
      </c>
      <c r="B9" s="24"/>
      <c r="C9" s="24"/>
      <c r="D9" s="24"/>
      <c r="E9" s="24"/>
      <c r="F9" s="24"/>
      <c r="G9" s="24"/>
      <c r="H9" s="24"/>
      <c r="I9" s="24"/>
      <c r="J9" s="24"/>
    </row>
    <row r="10" customFormat="false" ht="36" hidden="false" customHeight="true" outlineLevel="0" collapsed="false">
      <c r="A10" s="25" t="s">
        <v>3</v>
      </c>
      <c r="B10" s="25" t="s">
        <v>138</v>
      </c>
      <c r="C10" s="25" t="s">
        <v>139</v>
      </c>
      <c r="D10" s="25" t="s">
        <v>140</v>
      </c>
      <c r="E10" s="25" t="s">
        <v>159</v>
      </c>
      <c r="F10" s="25" t="s">
        <v>142</v>
      </c>
      <c r="G10" s="25" t="s">
        <v>143</v>
      </c>
      <c r="H10" s="25" t="s">
        <v>144</v>
      </c>
    </row>
    <row r="11" customFormat="false" ht="19.5" hidden="false" customHeight="true" outlineLevel="0" collapsed="false">
      <c r="A11" s="26" t="s">
        <v>16</v>
      </c>
      <c r="B11" s="27" t="n">
        <f aca="false">SUMPRODUCT(('Pipeline Data'!D$2:D$23="AMER")*('Pipeline Data'!F$2:F$23&lt;&gt;"Closed Lost")*('Pipeline Data'!G$2:G$23))</f>
        <v>752000</v>
      </c>
      <c r="C11" s="28" t="n">
        <f aca="false">COUNTIFS('Pipeline Data'!D$2:D$23,"AMER",'Pipeline Data'!F$2:F$23,"&lt;&gt;Closed Lost",'Pipeline Data'!F$2:F$23,"&lt;&gt;Closed Won")</f>
        <v>6</v>
      </c>
      <c r="D11" s="27" t="n">
        <f aca="false">SUMPRODUCT(('Pipeline Data'!D$2:D$23="AMER")*('Pipeline Data'!F$2:F$23&lt;&gt;"Closed Lost")*('Pipeline Data'!I$2:I$23))</f>
        <v>439900</v>
      </c>
      <c r="E11" s="29" t="n">
        <f aca="false">D11*$B$4</f>
        <v>439900</v>
      </c>
      <c r="F11" s="27" t="n">
        <f aca="false">$B$6*$B$7/3</f>
        <v>833333.333333333</v>
      </c>
      <c r="G11" s="30" t="n">
        <f aca="false">IF(F11=0,0,E11/F11)</f>
        <v>0.52788</v>
      </c>
      <c r="H11" s="27" t="n">
        <f aca="false">E11-F11</f>
        <v>-393433.333333333</v>
      </c>
    </row>
    <row r="12" customFormat="false" ht="19.5" hidden="false" customHeight="true" outlineLevel="0" collapsed="false">
      <c r="A12" s="31" t="s">
        <v>69</v>
      </c>
      <c r="B12" s="32" t="n">
        <f aca="false">SUMPRODUCT(('Pipeline Data'!D$2:D$23="EMEA")*('Pipeline Data'!F$2:F$23&lt;&gt;"Closed Lost")*('Pipeline Data'!G$2:G$23))</f>
        <v>793000</v>
      </c>
      <c r="C12" s="33" t="n">
        <f aca="false">COUNTIFS('Pipeline Data'!D$2:D$23,"EMEA",'Pipeline Data'!F$2:F$23,"&lt;&gt;Closed Lost",'Pipeline Data'!F$2:F$23,"&lt;&gt;Closed Won")</f>
        <v>5</v>
      </c>
      <c r="D12" s="32" t="n">
        <f aca="false">SUMPRODUCT(('Pipeline Data'!D$2:D$23="EMEA")*('Pipeline Data'!F$2:F$23&lt;&gt;"Closed Lost")*('Pipeline Data'!I$2:I$23))</f>
        <v>435500</v>
      </c>
      <c r="E12" s="34" t="n">
        <f aca="false">D12*$B$4</f>
        <v>435500</v>
      </c>
      <c r="F12" s="32" t="n">
        <f aca="false">$B$6*$B$7/3</f>
        <v>833333.333333333</v>
      </c>
      <c r="G12" s="35" t="n">
        <f aca="false">IF(F12=0,0,E12/F12)</f>
        <v>0.5226</v>
      </c>
      <c r="H12" s="32" t="n">
        <f aca="false">E12-F12</f>
        <v>-397833.333333333</v>
      </c>
    </row>
    <row r="13" customFormat="false" ht="19.5" hidden="false" customHeight="true" outlineLevel="0" collapsed="false">
      <c r="A13" s="26" t="s">
        <v>101</v>
      </c>
      <c r="B13" s="27" t="n">
        <f aca="false">SUMPRODUCT(('Pipeline Data'!D$2:D$23="APAC")*('Pipeline Data'!F$2:F$23&lt;&gt;"Closed Lost")*('Pipeline Data'!G$2:G$23))</f>
        <v>732000</v>
      </c>
      <c r="C13" s="28" t="n">
        <f aca="false">COUNTIFS('Pipeline Data'!D$2:D$23,"APAC",'Pipeline Data'!F$2:F$23,"&lt;&gt;Closed Lost",'Pipeline Data'!F$2:F$23,"&lt;&gt;Closed Won")</f>
        <v>5</v>
      </c>
      <c r="D13" s="27" t="n">
        <f aca="false">SUMPRODUCT(('Pipeline Data'!D$2:D$23="APAC")*('Pipeline Data'!F$2:F$23&lt;&gt;"Closed Lost")*('Pipeline Data'!I$2:I$23))</f>
        <v>446750</v>
      </c>
      <c r="E13" s="29" t="n">
        <f aca="false">D13*$B$4</f>
        <v>446750</v>
      </c>
      <c r="F13" s="27" t="n">
        <f aca="false">$B$6*$B$7/3</f>
        <v>833333.333333333</v>
      </c>
      <c r="G13" s="30" t="n">
        <f aca="false">IF(F13=0,0,E13/F13)</f>
        <v>0.5361</v>
      </c>
      <c r="H13" s="27" t="n">
        <f aca="false">E13-F13</f>
        <v>-386583.333333333</v>
      </c>
    </row>
    <row r="14" customFormat="false" ht="21.75" hidden="false" customHeight="true" outlineLevel="0" collapsed="false">
      <c r="A14" s="36" t="s">
        <v>145</v>
      </c>
      <c r="B14" s="37" t="n">
        <f aca="false">SUM(B11:B13)</f>
        <v>2277000</v>
      </c>
      <c r="C14" s="38" t="n">
        <f aca="false">SUM(C11:C13)</f>
        <v>16</v>
      </c>
      <c r="D14" s="37" t="n">
        <f aca="false">SUM(D11:D13)</f>
        <v>1322150</v>
      </c>
      <c r="E14" s="37" t="n">
        <f aca="false">SUM(E11:E13)</f>
        <v>1322150</v>
      </c>
      <c r="F14" s="37" t="n">
        <f aca="false">SUM(F11:F13)</f>
        <v>2500000</v>
      </c>
      <c r="G14" s="39" t="n">
        <f aca="false">SUM(G11:G13)</f>
        <v>1.58658</v>
      </c>
      <c r="H14" s="37" t="n">
        <f aca="false">SUM(H11:H13)</f>
        <v>-1177850</v>
      </c>
    </row>
    <row r="15" customFormat="false" ht="9.75" hidden="false" customHeight="true" outlineLevel="0" collapsed="false"/>
    <row r="16" customFormat="false" ht="24" hidden="false" customHeight="true" outlineLevel="0" collapsed="false">
      <c r="A16" s="24" t="s">
        <v>146</v>
      </c>
      <c r="B16" s="24"/>
      <c r="C16" s="24"/>
      <c r="D16" s="24"/>
      <c r="E16" s="24"/>
      <c r="F16" s="24"/>
      <c r="G16" s="24"/>
      <c r="H16" s="24"/>
      <c r="I16" s="24"/>
      <c r="J16" s="24"/>
    </row>
    <row r="17" customFormat="false" ht="36" hidden="false" customHeight="true" outlineLevel="0" collapsed="false">
      <c r="A17" s="25" t="s">
        <v>4</v>
      </c>
      <c r="B17" s="25" t="s">
        <v>3</v>
      </c>
      <c r="C17" s="25" t="s">
        <v>147</v>
      </c>
      <c r="D17" s="25" t="s">
        <v>148</v>
      </c>
      <c r="E17" s="25" t="s">
        <v>160</v>
      </c>
      <c r="F17" s="25" t="s">
        <v>150</v>
      </c>
      <c r="G17" s="25" t="s">
        <v>143</v>
      </c>
    </row>
    <row r="18" customFormat="false" ht="19.5" hidden="false" customHeight="true" outlineLevel="0" collapsed="false">
      <c r="A18" s="40" t="s">
        <v>17</v>
      </c>
      <c r="B18" s="3" t="s">
        <v>16</v>
      </c>
      <c r="C18" s="41" t="n">
        <f aca="false">SUMPRODUCT(('Pipeline Data'!E$2:E$23="James Okafor")*('Pipeline Data'!F$2:F$23="Closed Won")*('Pipeline Data'!G$2:G$23))</f>
        <v>85000</v>
      </c>
      <c r="D18" s="41" t="n">
        <f aca="false">SUMPRODUCT(('Pipeline Data'!E$2:E$23="James Okafor")*('Pipeline Data'!F$2:F$23&lt;&gt;"Closed Won")*('Pipeline Data'!F$2:F$23&lt;&gt;"Closed Lost")*('Pipeline Data'!I$2:I$23))</f>
        <v>90000</v>
      </c>
      <c r="E18" s="42" t="n">
        <f aca="false">C18+D18*$B$4</f>
        <v>175000</v>
      </c>
      <c r="F18" s="41" t="n">
        <f aca="false">$B$6</f>
        <v>500000</v>
      </c>
      <c r="G18" s="43" t="n">
        <f aca="false">IF(F18=0,0,E18/F18)</f>
        <v>0.35</v>
      </c>
    </row>
    <row r="19" customFormat="false" ht="19.5" hidden="false" customHeight="true" outlineLevel="0" collapsed="false">
      <c r="A19" s="44" t="s">
        <v>31</v>
      </c>
      <c r="B19" s="9" t="s">
        <v>16</v>
      </c>
      <c r="C19" s="27" t="n">
        <f aca="false">SUMPRODUCT(('Pipeline Data'!E$2:E$23="Sarah Nwachukwu")*('Pipeline Data'!F$2:F$23="Closed Won")*('Pipeline Data'!G$2:G$23))</f>
        <v>0</v>
      </c>
      <c r="D19" s="27" t="n">
        <f aca="false">SUMPRODUCT(('Pipeline Data'!E$2:E$23="Sarah Nwachukwu")*('Pipeline Data'!F$2:F$23&lt;&gt;"Closed Won")*('Pipeline Data'!F$2:F$23&lt;&gt;"Closed Lost")*('Pipeline Data'!I$2:I$23))</f>
        <v>198750</v>
      </c>
      <c r="E19" s="29" t="n">
        <f aca="false">C19+D19*$B$4</f>
        <v>198750</v>
      </c>
      <c r="F19" s="27" t="n">
        <f aca="false">$B$6</f>
        <v>500000</v>
      </c>
      <c r="G19" s="30" t="n">
        <f aca="false">IF(F19=0,0,E19/F19)</f>
        <v>0.3975</v>
      </c>
    </row>
    <row r="20" customFormat="false" ht="19.5" hidden="false" customHeight="true" outlineLevel="0" collapsed="false">
      <c r="A20" s="40" t="s">
        <v>52</v>
      </c>
      <c r="B20" s="3" t="s">
        <v>16</v>
      </c>
      <c r="C20" s="41" t="n">
        <f aca="false">SUMPRODUCT(('Pipeline Data'!E$2:E$23="Carlos Diaz")*('Pipeline Data'!F$2:F$23="Closed Won")*('Pipeline Data'!G$2:G$23))</f>
        <v>0</v>
      </c>
      <c r="D20" s="41" t="n">
        <f aca="false">SUMPRODUCT(('Pipeline Data'!E$2:E$23="Carlos Diaz")*('Pipeline Data'!F$2:F$23&lt;&gt;"Closed Won")*('Pipeline Data'!F$2:F$23&lt;&gt;"Closed Lost")*('Pipeline Data'!I$2:I$23))</f>
        <v>66150</v>
      </c>
      <c r="E20" s="42" t="n">
        <f aca="false">C20+D20*$B$4</f>
        <v>66150</v>
      </c>
      <c r="F20" s="41" t="n">
        <f aca="false">$B$6</f>
        <v>500000</v>
      </c>
      <c r="G20" s="43" t="n">
        <f aca="false">IF(F20=0,0,E20/F20)</f>
        <v>0.1323</v>
      </c>
    </row>
    <row r="21" customFormat="false" ht="19.5" hidden="false" customHeight="true" outlineLevel="0" collapsed="false">
      <c r="A21" s="44" t="s">
        <v>70</v>
      </c>
      <c r="B21" s="9" t="s">
        <v>69</v>
      </c>
      <c r="C21" s="27" t="n">
        <f aca="false">SUMPRODUCT(('Pipeline Data'!E$2:E$23="Priya Sharma")*('Pipeline Data'!F$2:F$23="Closed Won")*('Pipeline Data'!G$2:G$23))</f>
        <v>110000</v>
      </c>
      <c r="D21" s="27" t="n">
        <f aca="false">SUMPRODUCT(('Pipeline Data'!E$2:E$23="Priya Sharma")*('Pipeline Data'!F$2:F$23&lt;&gt;"Closed Won")*('Pipeline Data'!F$2:F$23&lt;&gt;"Closed Lost")*('Pipeline Data'!I$2:I$23))</f>
        <v>147500</v>
      </c>
      <c r="E21" s="29" t="n">
        <f aca="false">C21+D21*$B$4</f>
        <v>257500</v>
      </c>
      <c r="F21" s="27" t="n">
        <f aca="false">$B$6</f>
        <v>500000</v>
      </c>
      <c r="G21" s="30" t="n">
        <f aca="false">IF(F21=0,0,E21/F21)</f>
        <v>0.515</v>
      </c>
    </row>
    <row r="22" customFormat="false" ht="19.5" hidden="false" customHeight="true" outlineLevel="0" collapsed="false">
      <c r="A22" s="40" t="s">
        <v>79</v>
      </c>
      <c r="B22" s="3" t="s">
        <v>69</v>
      </c>
      <c r="C22" s="41" t="n">
        <f aca="false">SUMPRODUCT(('Pipeline Data'!E$2:E$23="Tobias Müller")*('Pipeline Data'!F$2:F$23="Closed Won")*('Pipeline Data'!G$2:G$23))</f>
        <v>62000</v>
      </c>
      <c r="D22" s="41" t="n">
        <f aca="false">SUMPRODUCT(('Pipeline Data'!E$2:E$23="Tobias Müller")*('Pipeline Data'!F$2:F$23&lt;&gt;"Closed Won")*('Pipeline Data'!F$2:F$23&lt;&gt;"Closed Lost")*('Pipeline Data'!I$2:I$23))</f>
        <v>116000</v>
      </c>
      <c r="E22" s="42" t="n">
        <f aca="false">C22+D22*$B$4</f>
        <v>178000</v>
      </c>
      <c r="F22" s="41" t="n">
        <f aca="false">$B$6</f>
        <v>500000</v>
      </c>
      <c r="G22" s="43" t="n">
        <f aca="false">IF(F22=0,0,E22/F22)</f>
        <v>0.356</v>
      </c>
    </row>
    <row r="23" customFormat="false" ht="19.5" hidden="false" customHeight="true" outlineLevel="0" collapsed="false">
      <c r="A23" s="44" t="s">
        <v>102</v>
      </c>
      <c r="B23" s="9" t="s">
        <v>101</v>
      </c>
      <c r="C23" s="27" t="n">
        <f aca="false">SUMPRODUCT(('Pipeline Data'!E$2:E$23="Lin Wei")*('Pipeline Data'!F$2:F$23="Closed Won")*('Pipeline Data'!G$2:G$23))</f>
        <v>130000</v>
      </c>
      <c r="D23" s="27" t="n">
        <f aca="false">SUMPRODUCT(('Pipeline Data'!E$2:E$23="Lin Wei")*('Pipeline Data'!F$2:F$23&lt;&gt;"Closed Won")*('Pipeline Data'!F$2:F$23&lt;&gt;"Closed Lost")*('Pipeline Data'!I$2:I$23))</f>
        <v>194250</v>
      </c>
      <c r="E23" s="29" t="n">
        <f aca="false">C23+D23*$B$4</f>
        <v>324250</v>
      </c>
      <c r="F23" s="27" t="n">
        <f aca="false">$B$6</f>
        <v>500000</v>
      </c>
      <c r="G23" s="30" t="n">
        <f aca="false">IF(F23=0,0,E23/F23)</f>
        <v>0.6485</v>
      </c>
    </row>
    <row r="24" customFormat="false" ht="19.5" hidden="false" customHeight="true" outlineLevel="0" collapsed="false">
      <c r="A24" s="40" t="s">
        <v>109</v>
      </c>
      <c r="B24" s="3" t="s">
        <v>101</v>
      </c>
      <c r="C24" s="41" t="n">
        <f aca="false">SUMPRODUCT(('Pipeline Data'!E$2:E$23="Raj Patel")*('Pipeline Data'!F$2:F$23="Closed Won")*('Pipeline Data'!G$2:G$23))</f>
        <v>0</v>
      </c>
      <c r="D24" s="41" t="n">
        <f aca="false">SUMPRODUCT(('Pipeline Data'!E$2:E$23="Raj Patel")*('Pipeline Data'!F$2:F$23&lt;&gt;"Closed Won")*('Pipeline Data'!F$2:F$23&lt;&gt;"Closed Lost")*('Pipeline Data'!I$2:I$23))</f>
        <v>122500</v>
      </c>
      <c r="E24" s="42" t="n">
        <f aca="false">C24+D24*$B$4</f>
        <v>122500</v>
      </c>
      <c r="F24" s="41" t="n">
        <f aca="false">$B$6</f>
        <v>500000</v>
      </c>
      <c r="G24" s="43" t="n">
        <f aca="false">IF(F24=0,0,E24/F24)</f>
        <v>0.245</v>
      </c>
    </row>
    <row r="25" customFormat="false" ht="21.75" hidden="false" customHeight="true" outlineLevel="0" collapsed="false">
      <c r="A25" s="36" t="s">
        <v>145</v>
      </c>
      <c r="B25" s="45"/>
      <c r="C25" s="37" t="n">
        <f aca="false">SUM(C18:C24)</f>
        <v>387000</v>
      </c>
      <c r="D25" s="37" t="n">
        <f aca="false">SUM(D18:D24)</f>
        <v>935150</v>
      </c>
      <c r="E25" s="37" t="n">
        <f aca="false">SUM(E18:E24)</f>
        <v>1322150</v>
      </c>
      <c r="F25" s="37" t="n">
        <f aca="false">SUM(F18:F24)</f>
        <v>3500000</v>
      </c>
      <c r="G25" s="39" t="n">
        <f aca="false">IF(F25=0,0,E25/F25)</f>
        <v>0.377757142857143</v>
      </c>
    </row>
  </sheetData>
  <mergeCells count="4">
    <mergeCell ref="A1:J1"/>
    <mergeCell ref="A3:B3"/>
    <mergeCell ref="A9:J9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2" min="11" style="0" width="16"/>
    <col collapsed="false" customWidth="true" hidden="false" outlineLevel="0" max="15" min="13" style="0" width="20"/>
    <col collapsed="false" customWidth="true" hidden="false" outlineLevel="0" max="16" min="16" style="0" width="18"/>
    <col collapsed="false" customWidth="true" hidden="false" outlineLevel="0" max="17" min="17" style="0" width="1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161</v>
      </c>
      <c r="N1" s="1" t="s">
        <v>162</v>
      </c>
      <c r="O1" s="1" t="s">
        <v>163</v>
      </c>
      <c r="P1" s="1" t="s">
        <v>150</v>
      </c>
      <c r="Q1" s="1" t="s">
        <v>164</v>
      </c>
    </row>
    <row r="2" customFormat="false" ht="15" hidden="false" customHeight="false" outlineLevel="0" collapsed="false">
      <c r="A2" s="2" t="s">
        <v>13</v>
      </c>
      <c r="B2" s="3" t="s">
        <v>14</v>
      </c>
      <c r="C2" s="3" t="s">
        <v>15</v>
      </c>
      <c r="D2" s="2" t="s">
        <v>16</v>
      </c>
      <c r="E2" s="3" t="s">
        <v>17</v>
      </c>
      <c r="F2" s="2" t="s">
        <v>18</v>
      </c>
      <c r="G2" s="4" t="n">
        <v>120000</v>
      </c>
      <c r="H2" s="5" t="n">
        <v>0.75</v>
      </c>
      <c r="I2" s="6" t="n">
        <f aca="false">G2*H2</f>
        <v>90000</v>
      </c>
      <c r="J2" s="7" t="n">
        <v>45838</v>
      </c>
      <c r="K2" s="2" t="s">
        <v>19</v>
      </c>
      <c r="L2" s="2" t="s">
        <v>20</v>
      </c>
      <c r="M2" s="42" t="n">
        <f aca="false">I2*1.15</f>
        <v>103500</v>
      </c>
      <c r="N2" s="42" t="n">
        <f aca="false">I2*0.8</f>
        <v>72000</v>
      </c>
      <c r="O2" s="42" t="n">
        <f aca="false">I2*1</f>
        <v>90000</v>
      </c>
      <c r="P2" s="48" t="n">
        <v>500000</v>
      </c>
      <c r="Q2" s="2" t="s">
        <v>165</v>
      </c>
    </row>
    <row r="3" customFormat="false" ht="15" hidden="false" customHeight="false" outlineLevel="0" collapsed="false">
      <c r="A3" s="8" t="s">
        <v>22</v>
      </c>
      <c r="B3" s="9" t="s">
        <v>23</v>
      </c>
      <c r="C3" s="9" t="s">
        <v>24</v>
      </c>
      <c r="D3" s="8" t="s">
        <v>16</v>
      </c>
      <c r="E3" s="9" t="s">
        <v>17</v>
      </c>
      <c r="F3" s="8" t="s">
        <v>25</v>
      </c>
      <c r="G3" s="10" t="n">
        <v>85000</v>
      </c>
      <c r="H3" s="11" t="n">
        <v>1</v>
      </c>
      <c r="I3" s="12" t="n">
        <f aca="false">G3*H3</f>
        <v>85000</v>
      </c>
      <c r="J3" s="13" t="n">
        <v>45792</v>
      </c>
      <c r="K3" s="8" t="s">
        <v>26</v>
      </c>
      <c r="L3" s="8" t="s">
        <v>27</v>
      </c>
      <c r="M3" s="29" t="n">
        <f aca="false">I3*1.15</f>
        <v>97750</v>
      </c>
      <c r="N3" s="29" t="n">
        <f aca="false">I3*0.8</f>
        <v>68000</v>
      </c>
      <c r="O3" s="29" t="n">
        <f aca="false">I3*1</f>
        <v>85000</v>
      </c>
      <c r="P3" s="49" t="n">
        <v>500000</v>
      </c>
      <c r="Q3" s="8" t="s">
        <v>165</v>
      </c>
    </row>
    <row r="4" customFormat="false" ht="15" hidden="false" customHeight="false" outlineLevel="0" collapsed="false">
      <c r="A4" s="2" t="s">
        <v>28</v>
      </c>
      <c r="B4" s="3" t="s">
        <v>29</v>
      </c>
      <c r="C4" s="3" t="s">
        <v>30</v>
      </c>
      <c r="D4" s="2" t="s">
        <v>16</v>
      </c>
      <c r="E4" s="3" t="s">
        <v>31</v>
      </c>
      <c r="F4" s="2" t="s">
        <v>32</v>
      </c>
      <c r="G4" s="4" t="n">
        <v>200000</v>
      </c>
      <c r="H4" s="5" t="n">
        <v>0.2</v>
      </c>
      <c r="I4" s="6" t="n">
        <f aca="false">G4*H4</f>
        <v>40000</v>
      </c>
      <c r="J4" s="7" t="n">
        <v>45869</v>
      </c>
      <c r="K4" s="2" t="s">
        <v>33</v>
      </c>
      <c r="L4" s="2" t="s">
        <v>34</v>
      </c>
      <c r="M4" s="42" t="n">
        <f aca="false">I4*1.15</f>
        <v>46000</v>
      </c>
      <c r="N4" s="42" t="n">
        <f aca="false">I4*0.8</f>
        <v>32000</v>
      </c>
      <c r="O4" s="42" t="n">
        <f aca="false">I4*1</f>
        <v>40000</v>
      </c>
      <c r="P4" s="48" t="n">
        <v>500000</v>
      </c>
      <c r="Q4" s="2" t="s">
        <v>166</v>
      </c>
    </row>
    <row r="5" customFormat="false" ht="15" hidden="false" customHeight="false" outlineLevel="0" collapsed="false">
      <c r="A5" s="8" t="s">
        <v>36</v>
      </c>
      <c r="B5" s="9" t="s">
        <v>37</v>
      </c>
      <c r="C5" s="9" t="s">
        <v>38</v>
      </c>
      <c r="D5" s="8" t="s">
        <v>16</v>
      </c>
      <c r="E5" s="9" t="s">
        <v>31</v>
      </c>
      <c r="F5" s="8" t="s">
        <v>39</v>
      </c>
      <c r="G5" s="10" t="n">
        <v>55000</v>
      </c>
      <c r="H5" s="11" t="n">
        <v>0.5</v>
      </c>
      <c r="I5" s="12" t="n">
        <f aca="false">G5*H5</f>
        <v>27500</v>
      </c>
      <c r="J5" s="13" t="n">
        <v>45823</v>
      </c>
      <c r="K5" s="8" t="s">
        <v>40</v>
      </c>
      <c r="L5" s="8" t="s">
        <v>41</v>
      </c>
      <c r="M5" s="29" t="n">
        <f aca="false">I5*1.15</f>
        <v>31625</v>
      </c>
      <c r="N5" s="29" t="n">
        <f aca="false">I5*0.8</f>
        <v>22000</v>
      </c>
      <c r="O5" s="29" t="n">
        <f aca="false">I5*1</f>
        <v>27500</v>
      </c>
      <c r="P5" s="49" t="n">
        <v>500000</v>
      </c>
      <c r="Q5" s="8" t="s">
        <v>165</v>
      </c>
    </row>
    <row r="6" customFormat="false" ht="15" hidden="false" customHeight="false" outlineLevel="0" collapsed="false">
      <c r="A6" s="2" t="s">
        <v>43</v>
      </c>
      <c r="B6" s="3" t="s">
        <v>44</v>
      </c>
      <c r="C6" s="3" t="s">
        <v>45</v>
      </c>
      <c r="D6" s="2" t="s">
        <v>16</v>
      </c>
      <c r="E6" s="3" t="s">
        <v>17</v>
      </c>
      <c r="F6" s="2" t="s">
        <v>46</v>
      </c>
      <c r="G6" s="4" t="n">
        <v>30000</v>
      </c>
      <c r="H6" s="5" t="n">
        <v>0</v>
      </c>
      <c r="I6" s="6" t="n">
        <f aca="false">G6*H6</f>
        <v>0</v>
      </c>
      <c r="J6" s="7" t="n">
        <v>45777</v>
      </c>
      <c r="K6" s="2" t="s">
        <v>19</v>
      </c>
      <c r="L6" s="2" t="s">
        <v>47</v>
      </c>
      <c r="M6" s="42" t="n">
        <f aca="false">I6*1.15</f>
        <v>0</v>
      </c>
      <c r="N6" s="42" t="n">
        <f aca="false">I6*0.8</f>
        <v>0</v>
      </c>
      <c r="O6" s="42" t="n">
        <f aca="false">I6*1</f>
        <v>0</v>
      </c>
      <c r="P6" s="48" t="n">
        <v>500000</v>
      </c>
      <c r="Q6" s="2" t="s">
        <v>165</v>
      </c>
    </row>
    <row r="7" customFormat="false" ht="15" hidden="false" customHeight="false" outlineLevel="0" collapsed="false">
      <c r="A7" s="8" t="s">
        <v>49</v>
      </c>
      <c r="B7" s="9" t="s">
        <v>50</v>
      </c>
      <c r="C7" s="9" t="s">
        <v>51</v>
      </c>
      <c r="D7" s="8" t="s">
        <v>16</v>
      </c>
      <c r="E7" s="9" t="s">
        <v>52</v>
      </c>
      <c r="F7" s="8" t="s">
        <v>53</v>
      </c>
      <c r="G7" s="10" t="n">
        <v>95000</v>
      </c>
      <c r="H7" s="11" t="n">
        <v>0.65</v>
      </c>
      <c r="I7" s="12" t="n">
        <f aca="false">G7*H7</f>
        <v>61750</v>
      </c>
      <c r="J7" s="13" t="n">
        <v>45853</v>
      </c>
      <c r="K7" s="8" t="s">
        <v>54</v>
      </c>
      <c r="L7" s="8" t="s">
        <v>55</v>
      </c>
      <c r="M7" s="29" t="n">
        <f aca="false">I7*1.15</f>
        <v>71012.5</v>
      </c>
      <c r="N7" s="29" t="n">
        <f aca="false">I7*0.8</f>
        <v>49400</v>
      </c>
      <c r="O7" s="29" t="n">
        <f aca="false">I7*1</f>
        <v>61750</v>
      </c>
      <c r="P7" s="49" t="n">
        <v>500000</v>
      </c>
      <c r="Q7" s="8" t="s">
        <v>166</v>
      </c>
    </row>
    <row r="8" customFormat="false" ht="15" hidden="false" customHeight="false" outlineLevel="0" collapsed="false">
      <c r="A8" s="2" t="s">
        <v>57</v>
      </c>
      <c r="B8" s="3" t="s">
        <v>58</v>
      </c>
      <c r="C8" s="3" t="s">
        <v>59</v>
      </c>
      <c r="D8" s="2" t="s">
        <v>16</v>
      </c>
      <c r="E8" s="3" t="s">
        <v>52</v>
      </c>
      <c r="F8" s="2" t="s">
        <v>32</v>
      </c>
      <c r="G8" s="4" t="n">
        <v>22000</v>
      </c>
      <c r="H8" s="5" t="n">
        <v>0.2</v>
      </c>
      <c r="I8" s="6" t="n">
        <f aca="false">G8*H8</f>
        <v>4400</v>
      </c>
      <c r="J8" s="7" t="n">
        <v>45900</v>
      </c>
      <c r="K8" s="2" t="s">
        <v>26</v>
      </c>
      <c r="L8" s="2" t="s">
        <v>60</v>
      </c>
      <c r="M8" s="42" t="n">
        <f aca="false">I8*1.15</f>
        <v>5060</v>
      </c>
      <c r="N8" s="42" t="n">
        <f aca="false">I8*0.8</f>
        <v>3520</v>
      </c>
      <c r="O8" s="42" t="n">
        <f aca="false">I8*1</f>
        <v>4400</v>
      </c>
      <c r="P8" s="48" t="n">
        <v>500000</v>
      </c>
      <c r="Q8" s="2" t="s">
        <v>166</v>
      </c>
    </row>
    <row r="9" customFormat="false" ht="15" hidden="false" customHeight="false" outlineLevel="0" collapsed="false">
      <c r="A9" s="8" t="s">
        <v>61</v>
      </c>
      <c r="B9" s="9" t="s">
        <v>62</v>
      </c>
      <c r="C9" s="9" t="s">
        <v>63</v>
      </c>
      <c r="D9" s="8" t="s">
        <v>16</v>
      </c>
      <c r="E9" s="9" t="s">
        <v>31</v>
      </c>
      <c r="F9" s="8" t="s">
        <v>18</v>
      </c>
      <c r="G9" s="10" t="n">
        <v>175000</v>
      </c>
      <c r="H9" s="11" t="n">
        <v>0.75</v>
      </c>
      <c r="I9" s="12" t="n">
        <f aca="false">G9*H9</f>
        <v>131250</v>
      </c>
      <c r="J9" s="13" t="n">
        <v>45838</v>
      </c>
      <c r="K9" s="8" t="s">
        <v>19</v>
      </c>
      <c r="L9" s="8" t="s">
        <v>64</v>
      </c>
      <c r="M9" s="29" t="n">
        <f aca="false">I9*1.15</f>
        <v>150937.5</v>
      </c>
      <c r="N9" s="29" t="n">
        <f aca="false">I9*0.8</f>
        <v>105000</v>
      </c>
      <c r="O9" s="29" t="n">
        <f aca="false">I9*1</f>
        <v>131250</v>
      </c>
      <c r="P9" s="49" t="n">
        <v>500000</v>
      </c>
      <c r="Q9" s="8" t="s">
        <v>165</v>
      </c>
    </row>
    <row r="10" customFormat="false" ht="15" hidden="false" customHeight="false" outlineLevel="0" collapsed="false">
      <c r="A10" s="2" t="s">
        <v>66</v>
      </c>
      <c r="B10" s="3" t="s">
        <v>67</v>
      </c>
      <c r="C10" s="3" t="s">
        <v>68</v>
      </c>
      <c r="D10" s="2" t="s">
        <v>69</v>
      </c>
      <c r="E10" s="3" t="s">
        <v>70</v>
      </c>
      <c r="F10" s="2" t="s">
        <v>25</v>
      </c>
      <c r="G10" s="4" t="n">
        <v>110000</v>
      </c>
      <c r="H10" s="5" t="n">
        <v>1</v>
      </c>
      <c r="I10" s="6" t="n">
        <f aca="false">G10*H10</f>
        <v>110000</v>
      </c>
      <c r="J10" s="7" t="n">
        <v>45797</v>
      </c>
      <c r="K10" s="2" t="s">
        <v>33</v>
      </c>
      <c r="L10" s="2" t="s">
        <v>41</v>
      </c>
      <c r="M10" s="42" t="n">
        <f aca="false">I10*1.15</f>
        <v>126500</v>
      </c>
      <c r="N10" s="42" t="n">
        <f aca="false">I10*0.8</f>
        <v>88000</v>
      </c>
      <c r="O10" s="42" t="n">
        <f aca="false">I10*1</f>
        <v>110000</v>
      </c>
      <c r="P10" s="48" t="n">
        <v>500000</v>
      </c>
      <c r="Q10" s="2" t="s">
        <v>165</v>
      </c>
    </row>
    <row r="11" customFormat="false" ht="15" hidden="false" customHeight="false" outlineLevel="0" collapsed="false">
      <c r="A11" s="8" t="s">
        <v>71</v>
      </c>
      <c r="B11" s="9" t="s">
        <v>72</v>
      </c>
      <c r="C11" s="9" t="s">
        <v>73</v>
      </c>
      <c r="D11" s="8" t="s">
        <v>69</v>
      </c>
      <c r="E11" s="9" t="s">
        <v>70</v>
      </c>
      <c r="F11" s="8" t="s">
        <v>39</v>
      </c>
      <c r="G11" s="10" t="n">
        <v>145000</v>
      </c>
      <c r="H11" s="11" t="n">
        <v>0.5</v>
      </c>
      <c r="I11" s="12" t="n">
        <f aca="false">G11*H11</f>
        <v>72500</v>
      </c>
      <c r="J11" s="13" t="n">
        <v>45869</v>
      </c>
      <c r="K11" s="8" t="s">
        <v>26</v>
      </c>
      <c r="L11" s="8" t="s">
        <v>74</v>
      </c>
      <c r="M11" s="29" t="n">
        <f aca="false">I11*1.15</f>
        <v>83375</v>
      </c>
      <c r="N11" s="29" t="n">
        <f aca="false">I11*0.8</f>
        <v>58000</v>
      </c>
      <c r="O11" s="29" t="n">
        <f aca="false">I11*1</f>
        <v>72500</v>
      </c>
      <c r="P11" s="49" t="n">
        <v>500000</v>
      </c>
      <c r="Q11" s="8" t="s">
        <v>166</v>
      </c>
    </row>
    <row r="12" customFormat="false" ht="15" hidden="false" customHeight="false" outlineLevel="0" collapsed="false">
      <c r="A12" s="2" t="s">
        <v>76</v>
      </c>
      <c r="B12" s="3" t="s">
        <v>77</v>
      </c>
      <c r="C12" s="3" t="s">
        <v>78</v>
      </c>
      <c r="D12" s="2" t="s">
        <v>69</v>
      </c>
      <c r="E12" s="3" t="s">
        <v>79</v>
      </c>
      <c r="F12" s="2" t="s">
        <v>18</v>
      </c>
      <c r="G12" s="4" t="n">
        <v>88000</v>
      </c>
      <c r="H12" s="5" t="n">
        <v>0.75</v>
      </c>
      <c r="I12" s="6" t="n">
        <f aca="false">G12*H12</f>
        <v>66000</v>
      </c>
      <c r="J12" s="7" t="n">
        <v>45823</v>
      </c>
      <c r="K12" s="2" t="s">
        <v>19</v>
      </c>
      <c r="L12" s="2" t="s">
        <v>80</v>
      </c>
      <c r="M12" s="42" t="n">
        <f aca="false">I12*1.15</f>
        <v>75900</v>
      </c>
      <c r="N12" s="42" t="n">
        <f aca="false">I12*0.8</f>
        <v>52800</v>
      </c>
      <c r="O12" s="42" t="n">
        <f aca="false">I12*1</f>
        <v>66000</v>
      </c>
      <c r="P12" s="48" t="n">
        <v>500000</v>
      </c>
      <c r="Q12" s="2" t="s">
        <v>165</v>
      </c>
    </row>
    <row r="13" customFormat="false" ht="15" hidden="false" customHeight="false" outlineLevel="0" collapsed="false">
      <c r="A13" s="8" t="s">
        <v>81</v>
      </c>
      <c r="B13" s="9" t="s">
        <v>82</v>
      </c>
      <c r="C13" s="9" t="s">
        <v>83</v>
      </c>
      <c r="D13" s="8" t="s">
        <v>69</v>
      </c>
      <c r="E13" s="9" t="s">
        <v>79</v>
      </c>
      <c r="F13" s="8" t="s">
        <v>32</v>
      </c>
      <c r="G13" s="10" t="n">
        <v>250000</v>
      </c>
      <c r="H13" s="11" t="n">
        <v>0.2</v>
      </c>
      <c r="I13" s="12" t="n">
        <f aca="false">G13*H13</f>
        <v>50000</v>
      </c>
      <c r="J13" s="13" t="n">
        <v>45930</v>
      </c>
      <c r="K13" s="8" t="s">
        <v>26</v>
      </c>
      <c r="L13" s="8" t="s">
        <v>84</v>
      </c>
      <c r="M13" s="29" t="n">
        <f aca="false">I13*1.15</f>
        <v>57500</v>
      </c>
      <c r="N13" s="29" t="n">
        <f aca="false">I13*0.8</f>
        <v>40000</v>
      </c>
      <c r="O13" s="29" t="n">
        <f aca="false">I13*1</f>
        <v>50000</v>
      </c>
      <c r="P13" s="49" t="n">
        <v>500000</v>
      </c>
      <c r="Q13" s="8" t="s">
        <v>166</v>
      </c>
    </row>
    <row r="14" customFormat="false" ht="15" hidden="false" customHeight="false" outlineLevel="0" collapsed="false">
      <c r="A14" s="2" t="s">
        <v>86</v>
      </c>
      <c r="B14" s="3" t="s">
        <v>87</v>
      </c>
      <c r="C14" s="3" t="s">
        <v>88</v>
      </c>
      <c r="D14" s="2" t="s">
        <v>69</v>
      </c>
      <c r="E14" s="3" t="s">
        <v>70</v>
      </c>
      <c r="F14" s="2" t="s">
        <v>53</v>
      </c>
      <c r="G14" s="4" t="n">
        <v>40000</v>
      </c>
      <c r="H14" s="5" t="n">
        <v>0.65</v>
      </c>
      <c r="I14" s="6" t="n">
        <f aca="false">G14*H14</f>
        <v>26000</v>
      </c>
      <c r="J14" s="7" t="n">
        <v>45869</v>
      </c>
      <c r="K14" s="2" t="s">
        <v>40</v>
      </c>
      <c r="L14" s="2" t="s">
        <v>89</v>
      </c>
      <c r="M14" s="42" t="n">
        <f aca="false">I14*1.15</f>
        <v>29900</v>
      </c>
      <c r="N14" s="42" t="n">
        <f aca="false">I14*0.8</f>
        <v>20800</v>
      </c>
      <c r="O14" s="42" t="n">
        <f aca="false">I14*1</f>
        <v>26000</v>
      </c>
      <c r="P14" s="48" t="n">
        <v>500000</v>
      </c>
      <c r="Q14" s="2" t="s">
        <v>166</v>
      </c>
    </row>
    <row r="15" customFormat="false" ht="15" hidden="false" customHeight="false" outlineLevel="0" collapsed="false">
      <c r="A15" s="8" t="s">
        <v>90</v>
      </c>
      <c r="B15" s="9" t="s">
        <v>91</v>
      </c>
      <c r="C15" s="9" t="s">
        <v>92</v>
      </c>
      <c r="D15" s="8" t="s">
        <v>69</v>
      </c>
      <c r="E15" s="9" t="s">
        <v>79</v>
      </c>
      <c r="F15" s="8" t="s">
        <v>25</v>
      </c>
      <c r="G15" s="10" t="n">
        <v>62000</v>
      </c>
      <c r="H15" s="11" t="n">
        <v>1</v>
      </c>
      <c r="I15" s="12" t="n">
        <f aca="false">G15*H15</f>
        <v>62000</v>
      </c>
      <c r="J15" s="13" t="n">
        <v>45808</v>
      </c>
      <c r="K15" s="8" t="s">
        <v>33</v>
      </c>
      <c r="L15" s="8" t="s">
        <v>93</v>
      </c>
      <c r="M15" s="29" t="n">
        <f aca="false">I15*1.15</f>
        <v>71300</v>
      </c>
      <c r="N15" s="29" t="n">
        <f aca="false">I15*0.8</f>
        <v>49600</v>
      </c>
      <c r="O15" s="29" t="n">
        <f aca="false">I15*1</f>
        <v>62000</v>
      </c>
      <c r="P15" s="49" t="n">
        <v>500000</v>
      </c>
      <c r="Q15" s="8" t="s">
        <v>165</v>
      </c>
    </row>
    <row r="16" customFormat="false" ht="15" hidden="false" customHeight="false" outlineLevel="0" collapsed="false">
      <c r="A16" s="2" t="s">
        <v>94</v>
      </c>
      <c r="B16" s="3" t="s">
        <v>95</v>
      </c>
      <c r="C16" s="3" t="s">
        <v>96</v>
      </c>
      <c r="D16" s="2" t="s">
        <v>69</v>
      </c>
      <c r="E16" s="3" t="s">
        <v>70</v>
      </c>
      <c r="F16" s="2" t="s">
        <v>39</v>
      </c>
      <c r="G16" s="4" t="n">
        <v>98000</v>
      </c>
      <c r="H16" s="5" t="n">
        <v>0.5</v>
      </c>
      <c r="I16" s="6" t="n">
        <f aca="false">G16*H16</f>
        <v>49000</v>
      </c>
      <c r="J16" s="7" t="n">
        <v>45884</v>
      </c>
      <c r="K16" s="2" t="s">
        <v>54</v>
      </c>
      <c r="L16" s="2" t="s">
        <v>41</v>
      </c>
      <c r="M16" s="42" t="n">
        <f aca="false">I16*1.15</f>
        <v>56350</v>
      </c>
      <c r="N16" s="42" t="n">
        <f aca="false">I16*0.8</f>
        <v>39200</v>
      </c>
      <c r="O16" s="42" t="n">
        <f aca="false">I16*1</f>
        <v>49000</v>
      </c>
      <c r="P16" s="48" t="n">
        <v>500000</v>
      </c>
      <c r="Q16" s="2" t="s">
        <v>166</v>
      </c>
    </row>
    <row r="17" customFormat="false" ht="15" hidden="false" customHeight="false" outlineLevel="0" collapsed="false">
      <c r="A17" s="8" t="s">
        <v>98</v>
      </c>
      <c r="B17" s="9" t="s">
        <v>99</v>
      </c>
      <c r="C17" s="9" t="s">
        <v>100</v>
      </c>
      <c r="D17" s="8" t="s">
        <v>101</v>
      </c>
      <c r="E17" s="9" t="s">
        <v>102</v>
      </c>
      <c r="F17" s="8" t="s">
        <v>25</v>
      </c>
      <c r="G17" s="10" t="n">
        <v>130000</v>
      </c>
      <c r="H17" s="11" t="n">
        <v>1</v>
      </c>
      <c r="I17" s="12" t="n">
        <f aca="false">G17*H17</f>
        <v>130000</v>
      </c>
      <c r="J17" s="13" t="n">
        <v>45777</v>
      </c>
      <c r="K17" s="8" t="s">
        <v>26</v>
      </c>
      <c r="L17" s="8" t="s">
        <v>55</v>
      </c>
      <c r="M17" s="29" t="n">
        <f aca="false">I17*1.15</f>
        <v>149500</v>
      </c>
      <c r="N17" s="29" t="n">
        <f aca="false">I17*0.8</f>
        <v>104000</v>
      </c>
      <c r="O17" s="29" t="n">
        <f aca="false">I17*1</f>
        <v>130000</v>
      </c>
      <c r="P17" s="49" t="n">
        <v>500000</v>
      </c>
      <c r="Q17" s="8" t="s">
        <v>165</v>
      </c>
    </row>
    <row r="18" customFormat="false" ht="15" hidden="false" customHeight="false" outlineLevel="0" collapsed="false">
      <c r="A18" s="2" t="s">
        <v>103</v>
      </c>
      <c r="B18" s="3" t="s">
        <v>104</v>
      </c>
      <c r="C18" s="3" t="s">
        <v>105</v>
      </c>
      <c r="D18" s="2" t="s">
        <v>101</v>
      </c>
      <c r="E18" s="3" t="s">
        <v>102</v>
      </c>
      <c r="F18" s="2" t="s">
        <v>18</v>
      </c>
      <c r="G18" s="4" t="n">
        <v>77000</v>
      </c>
      <c r="H18" s="5" t="n">
        <v>0.75</v>
      </c>
      <c r="I18" s="6" t="n">
        <f aca="false">G18*H18</f>
        <v>57750</v>
      </c>
      <c r="J18" s="7" t="n">
        <v>45838</v>
      </c>
      <c r="K18" s="2" t="s">
        <v>19</v>
      </c>
      <c r="L18" s="2" t="s">
        <v>34</v>
      </c>
      <c r="M18" s="42" t="n">
        <f aca="false">I18*1.15</f>
        <v>66412.5</v>
      </c>
      <c r="N18" s="42" t="n">
        <f aca="false">I18*0.8</f>
        <v>46200</v>
      </c>
      <c r="O18" s="42" t="n">
        <f aca="false">I18*1</f>
        <v>57750</v>
      </c>
      <c r="P18" s="48" t="n">
        <v>500000</v>
      </c>
      <c r="Q18" s="2" t="s">
        <v>165</v>
      </c>
    </row>
    <row r="19" customFormat="false" ht="15" hidden="false" customHeight="false" outlineLevel="0" collapsed="false">
      <c r="A19" s="8" t="s">
        <v>106</v>
      </c>
      <c r="B19" s="9" t="s">
        <v>107</v>
      </c>
      <c r="C19" s="9" t="s">
        <v>108</v>
      </c>
      <c r="D19" s="8" t="s">
        <v>101</v>
      </c>
      <c r="E19" s="9" t="s">
        <v>109</v>
      </c>
      <c r="F19" s="8" t="s">
        <v>32</v>
      </c>
      <c r="G19" s="10" t="n">
        <v>165000</v>
      </c>
      <c r="H19" s="11" t="n">
        <v>0.2</v>
      </c>
      <c r="I19" s="12" t="n">
        <f aca="false">G19*H19</f>
        <v>33000</v>
      </c>
      <c r="J19" s="13" t="n">
        <v>45930</v>
      </c>
      <c r="K19" s="8" t="s">
        <v>33</v>
      </c>
      <c r="L19" s="8" t="s">
        <v>110</v>
      </c>
      <c r="M19" s="29" t="n">
        <f aca="false">I19*1.15</f>
        <v>37950</v>
      </c>
      <c r="N19" s="29" t="n">
        <f aca="false">I19*0.8</f>
        <v>26400</v>
      </c>
      <c r="O19" s="29" t="n">
        <f aca="false">I19*1</f>
        <v>33000</v>
      </c>
      <c r="P19" s="49" t="n">
        <v>500000</v>
      </c>
      <c r="Q19" s="8" t="s">
        <v>166</v>
      </c>
    </row>
    <row r="20" customFormat="false" ht="15" hidden="false" customHeight="false" outlineLevel="0" collapsed="false">
      <c r="A20" s="2" t="s">
        <v>112</v>
      </c>
      <c r="B20" s="3" t="s">
        <v>113</v>
      </c>
      <c r="C20" s="3" t="s">
        <v>114</v>
      </c>
      <c r="D20" s="2" t="s">
        <v>101</v>
      </c>
      <c r="E20" s="3" t="s">
        <v>109</v>
      </c>
      <c r="F20" s="2" t="s">
        <v>39</v>
      </c>
      <c r="G20" s="4" t="n">
        <v>92000</v>
      </c>
      <c r="H20" s="5" t="n">
        <v>0.5</v>
      </c>
      <c r="I20" s="6" t="n">
        <f aca="false">G20*H20</f>
        <v>46000</v>
      </c>
      <c r="J20" s="7" t="n">
        <v>45869</v>
      </c>
      <c r="K20" s="2" t="s">
        <v>26</v>
      </c>
      <c r="L20" s="2" t="s">
        <v>115</v>
      </c>
      <c r="M20" s="42" t="n">
        <f aca="false">I20*1.15</f>
        <v>52900</v>
      </c>
      <c r="N20" s="42" t="n">
        <f aca="false">I20*0.8</f>
        <v>36800</v>
      </c>
      <c r="O20" s="42" t="n">
        <f aca="false">I20*1</f>
        <v>46000</v>
      </c>
      <c r="P20" s="48" t="n">
        <v>500000</v>
      </c>
      <c r="Q20" s="2" t="s">
        <v>166</v>
      </c>
    </row>
    <row r="21" customFormat="false" ht="15" hidden="false" customHeight="false" outlineLevel="0" collapsed="false">
      <c r="A21" s="8" t="s">
        <v>116</v>
      </c>
      <c r="B21" s="9" t="s">
        <v>117</v>
      </c>
      <c r="C21" s="9" t="s">
        <v>118</v>
      </c>
      <c r="D21" s="8" t="s">
        <v>101</v>
      </c>
      <c r="E21" s="9" t="s">
        <v>102</v>
      </c>
      <c r="F21" s="8" t="s">
        <v>53</v>
      </c>
      <c r="G21" s="10" t="n">
        <v>210000</v>
      </c>
      <c r="H21" s="11" t="n">
        <v>0.65</v>
      </c>
      <c r="I21" s="12" t="n">
        <f aca="false">G21*H21</f>
        <v>136500</v>
      </c>
      <c r="J21" s="13" t="n">
        <v>45900</v>
      </c>
      <c r="K21" s="8" t="s">
        <v>19</v>
      </c>
      <c r="L21" s="8" t="s">
        <v>41</v>
      </c>
      <c r="M21" s="29" t="n">
        <f aca="false">I21*1.15</f>
        <v>156975</v>
      </c>
      <c r="N21" s="29" t="n">
        <f aca="false">I21*0.8</f>
        <v>109200</v>
      </c>
      <c r="O21" s="29" t="n">
        <f aca="false">I21*1</f>
        <v>136500</v>
      </c>
      <c r="P21" s="49" t="n">
        <v>500000</v>
      </c>
      <c r="Q21" s="8" t="s">
        <v>166</v>
      </c>
    </row>
    <row r="22" customFormat="false" ht="15" hidden="false" customHeight="false" outlineLevel="0" collapsed="false">
      <c r="A22" s="2" t="s">
        <v>119</v>
      </c>
      <c r="B22" s="3" t="s">
        <v>120</v>
      </c>
      <c r="C22" s="3" t="s">
        <v>121</v>
      </c>
      <c r="D22" s="2" t="s">
        <v>101</v>
      </c>
      <c r="E22" s="3" t="s">
        <v>109</v>
      </c>
      <c r="F22" s="2" t="s">
        <v>18</v>
      </c>
      <c r="G22" s="4" t="n">
        <v>58000</v>
      </c>
      <c r="H22" s="5" t="n">
        <v>0.75</v>
      </c>
      <c r="I22" s="6" t="n">
        <f aca="false">G22*H22</f>
        <v>43500</v>
      </c>
      <c r="J22" s="7" t="n">
        <v>45853</v>
      </c>
      <c r="K22" s="2" t="s">
        <v>54</v>
      </c>
      <c r="L22" s="2" t="s">
        <v>20</v>
      </c>
      <c r="M22" s="42" t="n">
        <f aca="false">I22*1.15</f>
        <v>50025</v>
      </c>
      <c r="N22" s="42" t="n">
        <f aca="false">I22*0.8</f>
        <v>34800</v>
      </c>
      <c r="O22" s="42" t="n">
        <f aca="false">I22*1</f>
        <v>43500</v>
      </c>
      <c r="P22" s="48" t="n">
        <v>500000</v>
      </c>
      <c r="Q22" s="2" t="s">
        <v>166</v>
      </c>
    </row>
    <row r="23" customFormat="false" ht="15" hidden="false" customHeight="false" outlineLevel="0" collapsed="false">
      <c r="A23" s="8" t="s">
        <v>122</v>
      </c>
      <c r="B23" s="9" t="s">
        <v>123</v>
      </c>
      <c r="C23" s="9" t="s">
        <v>124</v>
      </c>
      <c r="D23" s="8" t="s">
        <v>101</v>
      </c>
      <c r="E23" s="9" t="s">
        <v>102</v>
      </c>
      <c r="F23" s="8" t="s">
        <v>46</v>
      </c>
      <c r="G23" s="10" t="n">
        <v>18000</v>
      </c>
      <c r="H23" s="11" t="n">
        <v>0</v>
      </c>
      <c r="I23" s="12" t="n">
        <f aca="false">G23*H23</f>
        <v>0</v>
      </c>
      <c r="J23" s="13" t="n">
        <v>45778</v>
      </c>
      <c r="K23" s="8" t="s">
        <v>40</v>
      </c>
      <c r="L23" s="8" t="s">
        <v>41</v>
      </c>
      <c r="M23" s="29" t="n">
        <f aca="false">I23*1.15</f>
        <v>0</v>
      </c>
      <c r="N23" s="29" t="n">
        <f aca="false">I23*0.8</f>
        <v>0</v>
      </c>
      <c r="O23" s="29" t="n">
        <f aca="false">I23*1</f>
        <v>0</v>
      </c>
      <c r="P23" s="49" t="n">
        <v>500000</v>
      </c>
      <c r="Q23" s="8" t="s">
        <v>165</v>
      </c>
    </row>
    <row r="24" customFormat="false" ht="21.75" hidden="false" customHeight="true" outlineLevel="0" collapsed="false">
      <c r="A24" s="50" t="s">
        <v>126</v>
      </c>
      <c r="B24" s="51"/>
      <c r="C24" s="51"/>
      <c r="D24" s="51"/>
      <c r="E24" s="51"/>
      <c r="F24" s="51"/>
      <c r="G24" s="52" t="n">
        <f aca="false">SUM(G2:G23)</f>
        <v>2325000</v>
      </c>
      <c r="H24" s="51"/>
      <c r="I24" s="52" t="n">
        <f aca="false">SUM(I2:I23)</f>
        <v>1322150</v>
      </c>
      <c r="J24" s="51"/>
      <c r="K24" s="51"/>
      <c r="L24" s="51"/>
      <c r="M24" s="52" t="n">
        <f aca="false">SUM(M2:M23)</f>
        <v>1520472.5</v>
      </c>
      <c r="N24" s="52" t="n">
        <f aca="false">SUM(N2:N23)</f>
        <v>1057720</v>
      </c>
      <c r="O24" s="52" t="n">
        <f aca="false">SUM(O2:O23)</f>
        <v>1322150</v>
      </c>
      <c r="P24" s="52" t="n">
        <f aca="false">SUM(P2:P23)</f>
        <v>11000000</v>
      </c>
      <c r="Q24" s="5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2026-06-05T20:37:53Z</dcterms:created>
  <dc:creator>openpyxl</dc:creator>
  <dc:description/>
  <dc:language>en-US</dc:language>
  <cp:lastModifiedBy/>
  <dcterms:modified xsi:type="dcterms:W3CDTF">2026-06-05T20:37:53Z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