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cuments\Michael\Analytics &amp; Analysis\Projects\"/>
    </mc:Choice>
  </mc:AlternateContent>
  <xr:revisionPtr revIDLastSave="0" documentId="13_ncr:1_{6D146B02-4B5F-4216-B061-DA579E7C71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 Scope" sheetId="1" r:id="rId1"/>
    <sheet name="Access Matrix" sheetId="2" r:id="rId2"/>
    <sheet name="Permission Set Inventory" sheetId="3" r:id="rId3"/>
    <sheet name="Sharing Rules Log" sheetId="4" r:id="rId4"/>
    <sheet name="Role Hierarch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5" l="1"/>
</calcChain>
</file>

<file path=xl/sharedStrings.xml><?xml version="1.0" encoding="utf-8"?>
<sst xmlns="http://schemas.openxmlformats.org/spreadsheetml/2006/main" count="586" uniqueCount="263">
  <si>
    <t>H1 — Salesforce Permission Architecture Design</t>
  </si>
  <si>
    <t>NovaTech Solutions · 500-User B2B SaaS Org · Decision Matrix &amp; Architecture Document</t>
  </si>
  <si>
    <t>Company</t>
  </si>
  <si>
    <t>NovaTech Solutions</t>
  </si>
  <si>
    <t>Industry</t>
  </si>
  <si>
    <t>Org Size</t>
  </si>
  <si>
    <t>500 users across 6 teams</t>
  </si>
  <si>
    <t>Project Type</t>
  </si>
  <si>
    <t>Permission Architecture Design</t>
  </si>
  <si>
    <t>Salesforce Edition</t>
  </si>
  <si>
    <t>Prepared By</t>
  </si>
  <si>
    <t>Date</t>
  </si>
  <si>
    <t>Trailhead Playground</t>
  </si>
  <si>
    <t>Business Problems This Architecture Solves</t>
  </si>
  <si>
    <t>P1</t>
  </si>
  <si>
    <t>P2</t>
  </si>
  <si>
    <t>Finance team had no visibility into Contracts object — causing delays in billing and renewals.</t>
  </si>
  <si>
    <t>P3</t>
  </si>
  <si>
    <t>Regional Sales Managers couldn't see their full team's pipeline — hindering accurate forecasting.</t>
  </si>
  <si>
    <t>P4</t>
  </si>
  <si>
    <t>Permission management required navigating each Permission Set Group individually — inefficient at scale.</t>
  </si>
  <si>
    <t>P5</t>
  </si>
  <si>
    <t>No standardised permission model meant new user onboarding took 2–3 days of manual configuration.</t>
  </si>
  <si>
    <t>Workbook Contents</t>
  </si>
  <si>
    <t>Tab</t>
  </si>
  <si>
    <t>Name</t>
  </si>
  <si>
    <t>Description</t>
  </si>
  <si>
    <t>Tab 1</t>
  </si>
  <si>
    <t>Project Scope</t>
  </si>
  <si>
    <t>Company overview, business problems, and workbook index</t>
  </si>
  <si>
    <t>Tab 2</t>
  </si>
  <si>
    <t>Access Matrix</t>
  </si>
  <si>
    <t>Full object-level access by role — OWD + role + PS combined view</t>
  </si>
  <si>
    <t>Tab 3</t>
  </si>
  <si>
    <t>Permission Set Inventory</t>
  </si>
  <si>
    <t>All permission sets: CRUD, field restrictions, PSG membership</t>
  </si>
  <si>
    <t>Tab 4</t>
  </si>
  <si>
    <t>Sharing Rules Log</t>
  </si>
  <si>
    <t>All sharing rules: object, criteria, shared with, access level, justification</t>
  </si>
  <si>
    <t>Tab 5</t>
  </si>
  <si>
    <t>Role Hierarchy</t>
  </si>
  <si>
    <t>Role tree with user counts, PSG assignments, and visibility scope</t>
  </si>
  <si>
    <t>Object Access Matrix — NovaTech Solutions Salesforce Org</t>
  </si>
  <si>
    <t>Object</t>
  </si>
  <si>
    <t>OWD Setting</t>
  </si>
  <si>
    <t>Sales Rep</t>
  </si>
  <si>
    <t>Sales Manager</t>
  </si>
  <si>
    <t>Support Agent</t>
  </si>
  <si>
    <t>Finance</t>
  </si>
  <si>
    <t>Marketing</t>
  </si>
  <si>
    <t>Read-Only User</t>
  </si>
  <si>
    <t>System Admin</t>
  </si>
  <si>
    <t>Sharing Rule?</t>
  </si>
  <si>
    <t>PS / PSG Applied</t>
  </si>
  <si>
    <t>Rationale</t>
  </si>
  <si>
    <t>Account</t>
  </si>
  <si>
    <t>Public Read Only</t>
  </si>
  <si>
    <t>Read/Edit</t>
  </si>
  <si>
    <t>Read Only</t>
  </si>
  <si>
    <t>Read Only (Limited)</t>
  </si>
  <si>
    <t>Full CRUD</t>
  </si>
  <si>
    <t>No</t>
  </si>
  <si>
    <t>PSG: Sales Rep / Sales Mgr</t>
  </si>
  <si>
    <t>All teams need account visibility; only sales can edit. Finance uses View All Fields PS (Spring '25) for full field access.</t>
  </si>
  <si>
    <t>Opportunity</t>
  </si>
  <si>
    <t>Private</t>
  </si>
  <si>
    <t>Read/Edit (own)</t>
  </si>
  <si>
    <t>Read All</t>
  </si>
  <si>
    <t>None</t>
  </si>
  <si>
    <t>Read (value only)</t>
  </si>
  <si>
    <t>Competitor pricing lives here. Private OWD locks to owner. Managers see via hierarchy. Finance sees deal value only via field-level security.</t>
  </si>
  <si>
    <t>Contact</t>
  </si>
  <si>
    <t>PSG: Sales Rep / Support Team</t>
  </si>
  <si>
    <t>Lead</t>
  </si>
  <si>
    <t>PSG: Sales Rep</t>
  </si>
  <si>
    <t>Leads are private to prevent poaching between reps. Marketing can create and edit for inbound tracking.</t>
  </si>
  <si>
    <t>Case</t>
  </si>
  <si>
    <t>PSG: Support Team</t>
  </si>
  <si>
    <t>Support agents own cases. High-priority cases shared to Team Lead via sharing rule. Sales has read-only visibility for account context.</t>
  </si>
  <si>
    <t>Contract</t>
  </si>
  <si>
    <t>Yes — Rule 2</t>
  </si>
  <si>
    <t>PS: Finance Access</t>
  </si>
  <si>
    <t>Campaign</t>
  </si>
  <si>
    <t>Public Read/Write</t>
  </si>
  <si>
    <t>PS: Marketing Access</t>
  </si>
  <si>
    <t>Marketing owns campaigns. Other teams have read-only for association purposes only.</t>
  </si>
  <si>
    <t>Report</t>
  </si>
  <si>
    <t>Create/Edit (own)</t>
  </si>
  <si>
    <t>Create/Edit + Export</t>
  </si>
  <si>
    <t>Create (own)</t>
  </si>
  <si>
    <t>Create/Edit</t>
  </si>
  <si>
    <t>Read Only (shared)</t>
  </si>
  <si>
    <t>PS: Manager Dashboard</t>
  </si>
  <si>
    <t>Report visibility follows folder sharing. Managers can export; standard users can create personal reports only.</t>
  </si>
  <si>
    <t>Dashboard</t>
  </si>
  <si>
    <t>View</t>
  </si>
  <si>
    <t>View + Run</t>
  </si>
  <si>
    <t>Dashboards are view-only for all non-admin users. Managers can refresh/run. Only admin can edit/create.</t>
  </si>
  <si>
    <t>Legend</t>
  </si>
  <si>
    <t>Full / Read+Edit access granted</t>
  </si>
  <si>
    <t>Read Only access</t>
  </si>
  <si>
    <t>No access / Denied</t>
  </si>
  <si>
    <t>Limited / Restricted (field-level)</t>
  </si>
  <si>
    <t>Custom / context-dependent</t>
  </si>
  <si>
    <t>Permission Set Inventory — NovaTech Solutions</t>
  </si>
  <si>
    <t>PS / PSG Name</t>
  </si>
  <si>
    <t>Type</t>
  </si>
  <si>
    <t>Assigned To (Role)</t>
  </si>
  <si>
    <t>Create</t>
  </si>
  <si>
    <t>Read</t>
  </si>
  <si>
    <t>Edit</t>
  </si>
  <si>
    <t>Delete</t>
  </si>
  <si>
    <t>Field Restrictions</t>
  </si>
  <si>
    <t>PSG Membership</t>
  </si>
  <si>
    <t>Spring '25 Feature?</t>
  </si>
  <si>
    <t>Notes</t>
  </si>
  <si>
    <t>PS: Sales Standard</t>
  </si>
  <si>
    <t>Permission Set</t>
  </si>
  <si>
    <t>Y</t>
  </si>
  <si>
    <t>Core sales object access. Baseline for all sales users.</t>
  </si>
  <si>
    <t>N</t>
  </si>
  <si>
    <t>Competitor Pricing = Hidden</t>
  </si>
  <si>
    <t>Delete removed — reps cannot lose deals from pipeline.</t>
  </si>
  <si>
    <t>No create — accounts go through qualification flow.</t>
  </si>
  <si>
    <t>PS: Sales Advanced</t>
  </si>
  <si>
    <t>Competitor Pricing = Visible</t>
  </si>
  <si>
    <t>PSG: Sales Manager</t>
  </si>
  <si>
    <t>Managers need full Opp access incl. pricing for strategy.</t>
  </si>
  <si>
    <t>Read-only on contracts for deal context.</t>
  </si>
  <si>
    <t>PS: Support Agent</t>
  </si>
  <si>
    <t>Core support object. No delete — audit trail required.</t>
  </si>
  <si>
    <t>Read-only to see account context on cases.</t>
  </si>
  <si>
    <t>Finance Team</t>
  </si>
  <si>
    <t>PSG: Finance Team</t>
  </si>
  <si>
    <t>Finance owns contract data for billing and renewals.</t>
  </si>
  <si>
    <t>Amount visible; Pricing = Hidden</t>
  </si>
  <si>
    <t>Finance needs deal value for revenue recognition only.</t>
  </si>
  <si>
    <t>PS: View All Fields</t>
  </si>
  <si>
    <t>Finance Director</t>
  </si>
  <si>
    <t>ALL fields visible (View All)</t>
  </si>
  <si>
    <t>YES</t>
  </si>
  <si>
    <t>Sales Manager / Support Lead</t>
  </si>
  <si>
    <t>Managers can create, edit, and export reports.</t>
  </si>
  <si>
    <t>PS Group</t>
  </si>
  <si>
    <t>All Sales Reps</t>
  </si>
  <si>
    <t>Includes</t>
  </si>
  <si>
    <t>–</t>
  </si>
  <si>
    <t>Single assignment covers all standard sales access.</t>
  </si>
  <si>
    <t>All Sales Managers</t>
  </si>
  <si>
    <t>PS: Sales Standard + Sales Advanced + Manager Dashboard</t>
  </si>
  <si>
    <t>All Support Agents</t>
  </si>
  <si>
    <t>Finance + Director</t>
  </si>
  <si>
    <t>PS: Finance Access + View All Fields</t>
  </si>
  <si>
    <t>View All Fields PS included for Finance Director. Assign PSG; Spring '25 Summary tab controls group membership.</t>
  </si>
  <si>
    <t>Sharing Rules Log — NovaTech Solutions</t>
  </si>
  <si>
    <t>Rule #</t>
  </si>
  <si>
    <t>Rule Type</t>
  </si>
  <si>
    <t>Criteria / Filter</t>
  </si>
  <si>
    <t>Record Owner (Role)</t>
  </si>
  <si>
    <t>Shared With (Role/Group)</t>
  </si>
  <si>
    <t>Access Level</t>
  </si>
  <si>
    <t>Can Edit?</t>
  </si>
  <si>
    <t>Business Justification</t>
  </si>
  <si>
    <t>Salesforce Path</t>
  </si>
  <si>
    <t>SR-01</t>
  </si>
  <si>
    <t>Role-based</t>
  </si>
  <si>
    <t>Owner Role = EMEA Sales Rep</t>
  </si>
  <si>
    <t>EMEA Sales Rep</t>
  </si>
  <si>
    <t>EMEA Sales Manager</t>
  </si>
  <si>
    <t>EMEA Sales Manager needs full team pipeline visibility for forecasting. Cannot be achieved via hierarchy alone as regional managers are lateral to reps in this design.</t>
  </si>
  <si>
    <t>Setup → Sharing Settings → Opportunity Sharing Rules → New</t>
  </si>
  <si>
    <t>SR-02</t>
  </si>
  <si>
    <t>Criteria-based</t>
  </si>
  <si>
    <t>Finance Team (Role)</t>
  </si>
  <si>
    <t>SR-03</t>
  </si>
  <si>
    <t>Priority = High</t>
  </si>
  <si>
    <t>Support Agent (any)</t>
  </si>
  <si>
    <t>Support Team Lead (Role)</t>
  </si>
  <si>
    <t>Read/Write</t>
  </si>
  <si>
    <t>Yes</t>
  </si>
  <si>
    <t>High-priority cases require Team Lead oversight and may need direct intervention. Read/Write required so lead can reassign, escalate, or update the case without ownership transfer.</t>
  </si>
  <si>
    <t>Setup → Sharing Settings → Case Sharing Rules → New</t>
  </si>
  <si>
    <t>Key Rule: Sharing rules can only OPEN access — they cannot restrict it. If OWD is Public Read/Write, sharing rules cannot lock records down. Always set OWD to most restrictive first.</t>
  </si>
  <si>
    <t>Role Hierarchy Map — NovaTech Solutions</t>
  </si>
  <si>
    <t>Level</t>
  </si>
  <si>
    <t>Role Name</t>
  </si>
  <si>
    <t>Parent Role</t>
  </si>
  <si>
    <t>User Count</t>
  </si>
  <si>
    <t>PSG Assigned</t>
  </si>
  <si>
    <t>Records Visible (own + below)</t>
  </si>
  <si>
    <t>Can Edit Own Records?</t>
  </si>
  <si>
    <t>Can Edit Subordinate Records?</t>
  </si>
  <si>
    <t>OWD Override via Hierarchy?</t>
  </si>
  <si>
    <t>L1</t>
  </si>
  <si>
    <t>CEO / Executive</t>
  </si>
  <si>
    <t>—</t>
  </si>
  <si>
    <t>All records in org</t>
  </si>
  <si>
    <t>Full visibility. System-level access for reporting only.</t>
  </si>
  <si>
    <t>L2</t>
  </si>
  <si>
    <t xml:space="preserve">    VP Sales</t>
  </si>
  <si>
    <t>All Sales Rep + Mgr records</t>
  </si>
  <si>
    <t>Sees entire sales org pipeline.</t>
  </si>
  <si>
    <t xml:space="preserve">    VP Support</t>
  </si>
  <si>
    <t>All Support Agent records</t>
  </si>
  <si>
    <t xml:space="preserve">    Finance Director</t>
  </si>
  <si>
    <t>All Finance team records + Active Contracts (SR-02)</t>
  </si>
  <si>
    <t>View All Fields PS (Spring '25) assigned at this level.</t>
  </si>
  <si>
    <t>L3</t>
  </si>
  <si>
    <t xml:space="preserve">        Sales Manager — EMEA</t>
  </si>
  <si>
    <t>VP Sales</t>
  </si>
  <si>
    <t>EMEA Sales Rep records + SR-01 sharing</t>
  </si>
  <si>
    <t>Sharing Rule SR-01 extends visibility to EMEA reps.</t>
  </si>
  <si>
    <t xml:space="preserve">        Sales Manager — APAC</t>
  </si>
  <si>
    <t>APAC Sales Rep records</t>
  </si>
  <si>
    <t xml:space="preserve">        Sales Manager — AMER</t>
  </si>
  <si>
    <t>AMER Sales Rep records</t>
  </si>
  <si>
    <t xml:space="preserve">        Support Team Lead</t>
  </si>
  <si>
    <t>VP Support</t>
  </si>
  <si>
    <t>All agent cases + High Priority via SR-03</t>
  </si>
  <si>
    <t>SR-03 gives R/W on High Priority cases.</t>
  </si>
  <si>
    <t>L4</t>
  </si>
  <si>
    <t xml:space="preserve">            Sales Rep — EMEA</t>
  </si>
  <si>
    <t>Sales Manager — EMEA</t>
  </si>
  <si>
    <t>Own records only</t>
  </si>
  <si>
    <t>OWD Private on Opps — sees only own records.</t>
  </si>
  <si>
    <t xml:space="preserve">            Sales Rep — APAC</t>
  </si>
  <si>
    <t>Sales Manager — APAC</t>
  </si>
  <si>
    <t xml:space="preserve">            Sales Rep — AMER</t>
  </si>
  <si>
    <t>Sales Manager — AMER</t>
  </si>
  <si>
    <t xml:space="preserve">            Support Agent</t>
  </si>
  <si>
    <t>Support Team Lead</t>
  </si>
  <si>
    <t>Own + Public Read cases</t>
  </si>
  <si>
    <t>Cases OWD Public Read Only — agents see all cases but edit own.</t>
  </si>
  <si>
    <t xml:space="preserve">            Finance Analyst</t>
  </si>
  <si>
    <t>Active Contracts (SR-02) + Accounts</t>
  </si>
  <si>
    <t>L5</t>
  </si>
  <si>
    <t xml:space="preserve">                Read-Only / Portal User</t>
  </si>
  <si>
    <t>(Standard PS)</t>
  </si>
  <si>
    <t>Shared/public records only</t>
  </si>
  <si>
    <t>No edit rights. View dashboards and shared reports only.</t>
  </si>
  <si>
    <t>TOTAL</t>
  </si>
  <si>
    <t>All Users</t>
  </si>
  <si>
    <t>Michael Oluwadamisi Adedayo</t>
  </si>
  <si>
    <t>B2B SaaS, sells software to mid-market companies</t>
  </si>
  <si>
    <t>Developer</t>
  </si>
  <si>
    <t>brave-unicorn-gac15-dev-ed.trailblaze.my.salesforce.com</t>
  </si>
  <si>
    <t>Support reps could see competitor pricing stored on Opportunity records a data confidentiality risk.</t>
  </si>
  <si>
    <t>Developer Edition limitation, Contract Status criteria unavailable in Account Sharing Rules. Rule built as record-owner based, sharing from CEO role to Finance Director. In a Production Enterprise org this would be a dedicated criteria-based Contract Sharing Rule filtering on Status = Activated, ensuring only active contracts are visible to Finance.</t>
  </si>
  <si>
    <t>Controlled by Parent</t>
  </si>
  <si>
    <t>Forced to Controlled by Parent when Account OWD is not Public Read/Write. Contact visibility follows Account in this design.</t>
  </si>
  <si>
    <t xml:space="preserve">Public Read Only </t>
  </si>
  <si>
    <t>Commercial terms are confidential. Finance owns and edits. Active contracts shared to Finance read-only via sharing rule. Sales Managers have read-only for deal context. Developer Edition merges Account and Contract under one OWD. Both set to Public Read Only. In Production, Contract would be Private</t>
  </si>
  <si>
    <t>Dev Edition: no separate Contract object permissions, managed via Account and Contract OWD + Sharing Rule SR-02</t>
  </si>
  <si>
    <t>Public Read Only (Account &amp; Contract merged — DE-01)</t>
  </si>
  <si>
    <t>Yes — SR 01</t>
  </si>
  <si>
    <t>Yes — SR 03</t>
  </si>
  <si>
    <t>Spring '25: grants read access to ALL Account fields without individual FLS changes. Assign to Finance Director only. Managed from PS Summary page to Related Permission Set Groups tab</t>
  </si>
  <si>
    <t>Role-based (Dev Edition workaround)</t>
  </si>
  <si>
    <t>Record Owner = CEO Role (Dev Edition workaround Production: Status = Activated)</t>
  </si>
  <si>
    <t>Setup → Sharing Settings → Account Sharing Rules → New</t>
  </si>
  <si>
    <t>CEO</t>
  </si>
  <si>
    <t>65 users mapped to named roles. Remaining 135 = Marketing, IT Admin and unassigned users not in scope of this architecture.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</si>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</sst>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888780"/>
      <name val="Arial"/>
      <family val="2"/>
    </font>
    <font>
      <b/>
      <sz val="10"/>
      <color rgb="FF1B3A6B"/>
      <name val="Arial"/>
      <family val="2"/>
    </font>
    <font>
      <sz val="10"/>
      <color rgb="FF44444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63380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633806"/>
      <name val="Arial"/>
      <family val="2"/>
    </font>
    <font>
      <sz val="10"/>
      <color rgb="FF27500A"/>
      <name val="Arial"/>
      <family val="2"/>
    </font>
    <font>
      <sz val="10"/>
      <color rgb="FF3C3489"/>
      <name val="Arial"/>
      <family val="2"/>
    </font>
    <font>
      <sz val="10"/>
      <color rgb="FF1B3A6B"/>
      <name val="Arial"/>
      <family val="2"/>
    </font>
    <font>
      <sz val="10"/>
      <color rgb="FF791F1F"/>
      <name val="Arial"/>
      <family val="2"/>
    </font>
    <font>
      <b/>
      <sz val="10"/>
      <color rgb="FF3C3489"/>
      <name val="Arial"/>
      <family val="2"/>
    </font>
    <font>
      <i/>
      <sz val="9"/>
      <color rgb="FF633806"/>
      <name val="Arial"/>
      <family val="2"/>
    </font>
    <font>
      <b/>
      <sz val="10"/>
      <color rgb="FF44444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E6F1FB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B5D4F4"/>
      </patternFill>
    </fill>
    <fill>
      <patternFill patternType="solid">
        <fgColor rgb="FF185FA5"/>
      </patternFill>
    </fill>
    <fill>
      <patternFill patternType="solid">
        <fgColor rgb="FF0F6E56"/>
      </patternFill>
    </fill>
    <fill>
      <patternFill patternType="solid">
        <fgColor rgb="FF633806"/>
      </patternFill>
    </fill>
    <fill>
      <patternFill patternType="solid">
        <fgColor rgb="FF993C1D"/>
      </patternFill>
    </fill>
    <fill>
      <patternFill patternType="solid">
        <fgColor rgb="FF888780"/>
      </patternFill>
    </fill>
    <fill>
      <patternFill patternType="solid">
        <fgColor rgb="FF444441"/>
      </patternFill>
    </fill>
    <fill>
      <patternFill patternType="solid">
        <fgColor rgb="FF3C3489"/>
      </patternFill>
    </fill>
    <fill>
      <patternFill patternType="solid">
        <fgColor rgb="FFEAF3DE"/>
      </patternFill>
    </fill>
    <fill>
      <patternFill patternType="solid">
        <fgColor rgb="FFEEEDFE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left" vertical="center" wrapText="1"/>
    </xf>
    <xf numFmtId="14" fontId="4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opLeftCell="A10" workbookViewId="0">
      <selection activeCell="C17" sqref="C17:H17"/>
    </sheetView>
  </sheetViews>
  <sheetFormatPr defaultRowHeight="14.4" x14ac:dyDescent="0.3"/>
  <cols>
    <col min="2" max="2" width="18" customWidth="1"/>
    <col min="3" max="3" width="30" customWidth="1"/>
    <col min="4" max="4" width="60" customWidth="1"/>
  </cols>
  <sheetData>
    <row r="1" spans="2:8" ht="6" customHeight="1" x14ac:dyDescent="0.3"/>
    <row r="2" spans="2:8" x14ac:dyDescent="0.3">
      <c r="B2" s="44" t="s">
        <v>0</v>
      </c>
      <c r="C2" s="42"/>
      <c r="D2" s="42"/>
      <c r="E2" s="42"/>
      <c r="F2" s="42"/>
      <c r="G2" s="42"/>
      <c r="H2" s="42"/>
    </row>
    <row r="3" spans="2:8" x14ac:dyDescent="0.3">
      <c r="B3" s="42"/>
      <c r="C3" s="42"/>
      <c r="D3" s="42"/>
      <c r="E3" s="42"/>
      <c r="F3" s="42"/>
      <c r="G3" s="42"/>
      <c r="H3" s="42"/>
    </row>
    <row r="4" spans="2:8" x14ac:dyDescent="0.3">
      <c r="B4" s="45" t="s">
        <v>1</v>
      </c>
      <c r="C4" s="42"/>
      <c r="D4" s="42"/>
      <c r="E4" s="42"/>
      <c r="F4" s="42"/>
      <c r="G4" s="42"/>
      <c r="H4" s="42"/>
    </row>
    <row r="5" spans="2:8" ht="10.050000000000001" customHeight="1" x14ac:dyDescent="0.3"/>
    <row r="6" spans="2:8" ht="18" customHeight="1" x14ac:dyDescent="0.3">
      <c r="B6" s="1" t="s">
        <v>2</v>
      </c>
      <c r="C6" s="41" t="s">
        <v>3</v>
      </c>
      <c r="D6" s="42"/>
      <c r="E6" s="42"/>
      <c r="F6" s="42"/>
      <c r="G6" s="42"/>
      <c r="H6" s="42"/>
    </row>
    <row r="7" spans="2:8" ht="18" customHeight="1" x14ac:dyDescent="0.3">
      <c r="B7" s="1" t="s">
        <v>4</v>
      </c>
      <c r="C7" s="41" t="s">
        <v>243</v>
      </c>
      <c r="D7" s="42"/>
      <c r="E7" s="42"/>
      <c r="F7" s="42"/>
      <c r="G7" s="42"/>
      <c r="H7" s="42"/>
    </row>
    <row r="8" spans="2:8" ht="18" customHeight="1" x14ac:dyDescent="0.3">
      <c r="B8" s="1" t="s">
        <v>5</v>
      </c>
      <c r="C8" s="41" t="s">
        <v>6</v>
      </c>
      <c r="D8" s="42"/>
      <c r="E8" s="42"/>
      <c r="F8" s="42"/>
      <c r="G8" s="42"/>
      <c r="H8" s="42"/>
    </row>
    <row r="9" spans="2:8" ht="18" customHeight="1" x14ac:dyDescent="0.3">
      <c r="B9" s="1" t="s">
        <v>7</v>
      </c>
      <c r="C9" s="41" t="s">
        <v>8</v>
      </c>
      <c r="D9" s="42"/>
      <c r="E9" s="42"/>
      <c r="F9" s="42"/>
      <c r="G9" s="42"/>
      <c r="H9" s="42"/>
    </row>
    <row r="10" spans="2:8" ht="18" customHeight="1" x14ac:dyDescent="0.3">
      <c r="B10" s="1" t="s">
        <v>9</v>
      </c>
      <c r="C10" s="41" t="s">
        <v>244</v>
      </c>
      <c r="D10" s="42"/>
      <c r="E10" s="42"/>
      <c r="F10" s="42"/>
      <c r="G10" s="42"/>
      <c r="H10" s="42"/>
    </row>
    <row r="11" spans="2:8" ht="18" customHeight="1" x14ac:dyDescent="0.3">
      <c r="B11" s="1" t="s">
        <v>10</v>
      </c>
      <c r="C11" s="41" t="s">
        <v>242</v>
      </c>
      <c r="D11" s="42"/>
      <c r="E11" s="42"/>
      <c r="F11" s="42"/>
      <c r="G11" s="42"/>
      <c r="H11" s="42"/>
    </row>
    <row r="12" spans="2:8" ht="18" customHeight="1" x14ac:dyDescent="0.3">
      <c r="B12" s="1" t="s">
        <v>11</v>
      </c>
      <c r="C12" s="48">
        <v>46114</v>
      </c>
      <c r="D12" s="42"/>
      <c r="E12" s="42"/>
      <c r="F12" s="42"/>
      <c r="G12" s="42"/>
      <c r="H12" s="42"/>
    </row>
    <row r="13" spans="2:8" ht="18" customHeight="1" x14ac:dyDescent="0.3">
      <c r="B13" s="1" t="s">
        <v>12</v>
      </c>
      <c r="C13" s="41" t="s">
        <v>245</v>
      </c>
      <c r="D13" s="42"/>
      <c r="E13" s="42"/>
      <c r="F13" s="42"/>
      <c r="G13" s="42"/>
      <c r="H13" s="42"/>
    </row>
    <row r="14" spans="2:8" ht="10.050000000000001" customHeight="1" x14ac:dyDescent="0.3"/>
    <row r="15" spans="2:8" ht="39.6" x14ac:dyDescent="0.3">
      <c r="B15" s="3" t="s">
        <v>13</v>
      </c>
      <c r="C15" s="43"/>
      <c r="D15" s="42"/>
      <c r="E15" s="42"/>
      <c r="F15" s="42"/>
      <c r="G15" s="42"/>
      <c r="H15" s="42"/>
    </row>
    <row r="16" spans="2:8" ht="19.95" customHeight="1" x14ac:dyDescent="0.3">
      <c r="B16" s="4" t="s">
        <v>14</v>
      </c>
      <c r="C16" s="41" t="s">
        <v>246</v>
      </c>
      <c r="D16" s="42"/>
      <c r="E16" s="42"/>
      <c r="F16" s="42"/>
      <c r="G16" s="42"/>
      <c r="H16" s="42"/>
    </row>
    <row r="17" spans="1:8" ht="19.95" customHeight="1" x14ac:dyDescent="0.3">
      <c r="B17" s="4" t="s">
        <v>15</v>
      </c>
      <c r="C17" s="41" t="s">
        <v>16</v>
      </c>
      <c r="D17" s="42"/>
      <c r="E17" s="42"/>
      <c r="F17" s="42"/>
      <c r="G17" s="42"/>
      <c r="H17" s="42"/>
    </row>
    <row r="18" spans="1:8" ht="19.95" customHeight="1" x14ac:dyDescent="0.3">
      <c r="B18" s="4" t="s">
        <v>17</v>
      </c>
      <c r="C18" s="41" t="s">
        <v>18</v>
      </c>
      <c r="D18" s="42"/>
      <c r="E18" s="42"/>
      <c r="F18" s="42"/>
      <c r="G18" s="42"/>
      <c r="H18" s="42"/>
    </row>
    <row r="19" spans="1:8" ht="19.95" customHeight="1" x14ac:dyDescent="0.3">
      <c r="B19" s="4" t="s">
        <v>19</v>
      </c>
      <c r="C19" s="41" t="s">
        <v>20</v>
      </c>
      <c r="D19" s="42"/>
      <c r="E19" s="42"/>
      <c r="F19" s="42"/>
      <c r="G19" s="42"/>
      <c r="H19" s="42"/>
    </row>
    <row r="20" spans="1:8" ht="19.95" customHeight="1" x14ac:dyDescent="0.3">
      <c r="B20" s="4" t="s">
        <v>21</v>
      </c>
      <c r="C20" s="41" t="s">
        <v>22</v>
      </c>
      <c r="D20" s="42"/>
      <c r="E20" s="42"/>
      <c r="F20" s="42"/>
      <c r="G20" s="42"/>
      <c r="H20" s="42"/>
    </row>
    <row r="21" spans="1:8" ht="10.050000000000001" customHeight="1" x14ac:dyDescent="0.3"/>
    <row r="22" spans="1:8" ht="26.4" x14ac:dyDescent="0.3">
      <c r="B22" s="3" t="s">
        <v>23</v>
      </c>
      <c r="C22" s="43"/>
      <c r="D22" s="42"/>
      <c r="E22" s="42"/>
      <c r="F22" s="42"/>
      <c r="G22" s="42"/>
      <c r="H22" s="42"/>
    </row>
    <row r="23" spans="1:8" x14ac:dyDescent="0.3">
      <c r="A23" s="5" t="s">
        <v>24</v>
      </c>
      <c r="B23" s="5" t="s">
        <v>25</v>
      </c>
      <c r="C23" s="5" t="s">
        <v>26</v>
      </c>
    </row>
    <row r="24" spans="1:8" ht="18" customHeight="1" x14ac:dyDescent="0.3">
      <c r="B24" s="6" t="s">
        <v>27</v>
      </c>
      <c r="C24" s="7" t="s">
        <v>28</v>
      </c>
      <c r="D24" s="41" t="s">
        <v>29</v>
      </c>
      <c r="E24" s="42"/>
      <c r="F24" s="42"/>
      <c r="G24" s="42"/>
      <c r="H24" s="42"/>
    </row>
    <row r="25" spans="1:8" ht="18" customHeight="1" x14ac:dyDescent="0.3">
      <c r="B25" s="6" t="s">
        <v>30</v>
      </c>
      <c r="C25" s="7" t="s">
        <v>31</v>
      </c>
      <c r="D25" s="41" t="s">
        <v>32</v>
      </c>
      <c r="E25" s="42"/>
      <c r="F25" s="42"/>
      <c r="G25" s="42"/>
      <c r="H25" s="42"/>
    </row>
    <row r="26" spans="1:8" ht="18" customHeight="1" x14ac:dyDescent="0.3">
      <c r="B26" s="6" t="s">
        <v>33</v>
      </c>
      <c r="C26" s="7" t="s">
        <v>34</v>
      </c>
      <c r="D26" s="41" t="s">
        <v>35</v>
      </c>
      <c r="E26" s="42"/>
      <c r="F26" s="42"/>
      <c r="G26" s="42"/>
      <c r="H26" s="42"/>
    </row>
    <row r="27" spans="1:8" ht="18" customHeight="1" x14ac:dyDescent="0.3">
      <c r="B27" s="6" t="s">
        <v>36</v>
      </c>
      <c r="C27" s="7" t="s">
        <v>37</v>
      </c>
      <c r="D27" s="41" t="s">
        <v>38</v>
      </c>
      <c r="E27" s="42"/>
      <c r="F27" s="42"/>
      <c r="G27" s="42"/>
      <c r="H27" s="42"/>
    </row>
    <row r="28" spans="1:8" ht="18" customHeight="1" x14ac:dyDescent="0.3">
      <c r="B28" s="6" t="s">
        <v>39</v>
      </c>
      <c r="C28" s="7" t="s">
        <v>40</v>
      </c>
      <c r="D28" s="41" t="s">
        <v>41</v>
      </c>
      <c r="E28" s="42"/>
      <c r="F28" s="42"/>
      <c r="G28" s="42"/>
      <c r="H28" s="42"/>
    </row>
  </sheetData>
  <mergeCells count="22">
    <mergeCell ref="D28:H28"/>
    <mergeCell ref="C18:H18"/>
    <mergeCell ref="C15:H15"/>
    <mergeCell ref="C6:H6"/>
    <mergeCell ref="D25:H25"/>
    <mergeCell ref="D24:H24"/>
    <mergeCell ref="C20:H20"/>
    <mergeCell ref="D26:H26"/>
    <mergeCell ref="D27:H27"/>
    <mergeCell ref="C8:H8"/>
    <mergeCell ref="C17:H17"/>
    <mergeCell ref="C7:H7"/>
    <mergeCell ref="C19:H19"/>
    <mergeCell ref="C13:H13"/>
    <mergeCell ref="C10:H10"/>
    <mergeCell ref="C16:H16"/>
    <mergeCell ref="C22:H22"/>
    <mergeCell ref="C9:H9"/>
    <mergeCell ref="B2:H3"/>
    <mergeCell ref="C12:H12"/>
    <mergeCell ref="C11:H11"/>
    <mergeCell ref="B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workbookViewId="0">
      <pane xSplit="2" ySplit="2" topLeftCell="D3" activePane="bottomRight" state="frozen"/>
      <selection pane="topRight"/>
      <selection pane="bottomLeft"/>
      <selection pane="bottomRight" activeCell="J7" sqref="J7"/>
    </sheetView>
  </sheetViews>
  <sheetFormatPr defaultRowHeight="14.4" x14ac:dyDescent="0.3"/>
  <cols>
    <col min="1" max="1" width="18" customWidth="1"/>
    <col min="2" max="4" width="16" customWidth="1"/>
    <col min="5" max="5" width="14" customWidth="1"/>
    <col min="6" max="6" width="18" customWidth="1"/>
    <col min="7" max="7" width="12" customWidth="1"/>
    <col min="8" max="8" width="16" customWidth="1"/>
    <col min="9" max="9" width="12" customWidth="1"/>
    <col min="10" max="10" width="16" customWidth="1"/>
    <col min="11" max="11" width="26" customWidth="1"/>
    <col min="12" max="12" width="55" customWidth="1"/>
  </cols>
  <sheetData>
    <row r="1" spans="1:12" ht="28.05" customHeight="1" x14ac:dyDescent="0.3">
      <c r="A1" s="46" t="s">
        <v>42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1.95" customHeight="1" x14ac:dyDescent="0.3">
      <c r="A2" s="8" t="s">
        <v>43</v>
      </c>
      <c r="B2" s="8" t="s">
        <v>44</v>
      </c>
      <c r="C2" s="9" t="s">
        <v>45</v>
      </c>
      <c r="D2" s="9" t="s">
        <v>46</v>
      </c>
      <c r="E2" s="10" t="s">
        <v>47</v>
      </c>
      <c r="F2" s="11" t="s">
        <v>48</v>
      </c>
      <c r="G2" s="12" t="s">
        <v>49</v>
      </c>
      <c r="H2" s="13" t="s">
        <v>50</v>
      </c>
      <c r="I2" s="14" t="s">
        <v>51</v>
      </c>
      <c r="J2" s="15" t="s">
        <v>52</v>
      </c>
      <c r="K2" s="8" t="s">
        <v>53</v>
      </c>
      <c r="L2" s="8" t="s">
        <v>54</v>
      </c>
    </row>
    <row r="3" spans="1:12" ht="60" customHeight="1" x14ac:dyDescent="0.3">
      <c r="A3" s="1" t="s">
        <v>55</v>
      </c>
      <c r="B3" s="16" t="s">
        <v>253</v>
      </c>
      <c r="C3" s="17" t="s">
        <v>57</v>
      </c>
      <c r="D3" s="17" t="s">
        <v>57</v>
      </c>
      <c r="E3" s="16" t="s">
        <v>58</v>
      </c>
      <c r="F3" s="18" t="s">
        <v>59</v>
      </c>
      <c r="G3" s="16" t="s">
        <v>58</v>
      </c>
      <c r="H3" s="16" t="s">
        <v>58</v>
      </c>
      <c r="I3" s="19" t="s">
        <v>60</v>
      </c>
      <c r="J3" s="20" t="s">
        <v>61</v>
      </c>
      <c r="K3" s="21" t="s">
        <v>62</v>
      </c>
      <c r="L3" s="2" t="s">
        <v>63</v>
      </c>
    </row>
    <row r="4" spans="1:12" ht="42" customHeight="1" x14ac:dyDescent="0.3">
      <c r="A4" s="1" t="s">
        <v>64</v>
      </c>
      <c r="B4" s="22" t="s">
        <v>65</v>
      </c>
      <c r="C4" s="19" t="s">
        <v>66</v>
      </c>
      <c r="D4" s="19" t="s">
        <v>67</v>
      </c>
      <c r="E4" s="22" t="s">
        <v>68</v>
      </c>
      <c r="F4" s="19" t="s">
        <v>69</v>
      </c>
      <c r="G4" s="22" t="s">
        <v>68</v>
      </c>
      <c r="H4" s="22" t="s">
        <v>68</v>
      </c>
      <c r="I4" s="19" t="s">
        <v>60</v>
      </c>
      <c r="J4" s="18" t="s">
        <v>254</v>
      </c>
      <c r="K4" s="21" t="s">
        <v>62</v>
      </c>
      <c r="L4" s="23" t="s">
        <v>70</v>
      </c>
    </row>
    <row r="5" spans="1:12" ht="42" customHeight="1" x14ac:dyDescent="0.3">
      <c r="A5" s="1" t="s">
        <v>71</v>
      </c>
      <c r="B5" s="16" t="s">
        <v>248</v>
      </c>
      <c r="C5" s="17" t="s">
        <v>57</v>
      </c>
      <c r="D5" s="17" t="s">
        <v>57</v>
      </c>
      <c r="E5" s="16" t="s">
        <v>58</v>
      </c>
      <c r="F5" s="16" t="s">
        <v>58</v>
      </c>
      <c r="G5" s="17" t="s">
        <v>57</v>
      </c>
      <c r="H5" s="16" t="s">
        <v>58</v>
      </c>
      <c r="I5" s="19" t="s">
        <v>60</v>
      </c>
      <c r="J5" s="20" t="s">
        <v>61</v>
      </c>
      <c r="K5" s="21" t="s">
        <v>72</v>
      </c>
      <c r="L5" s="2" t="s">
        <v>249</v>
      </c>
    </row>
    <row r="6" spans="1:12" ht="42" customHeight="1" x14ac:dyDescent="0.3">
      <c r="A6" s="1" t="s">
        <v>73</v>
      </c>
      <c r="B6" s="22" t="s">
        <v>65</v>
      </c>
      <c r="C6" s="19" t="s">
        <v>66</v>
      </c>
      <c r="D6" s="19" t="s">
        <v>67</v>
      </c>
      <c r="E6" s="22" t="s">
        <v>68</v>
      </c>
      <c r="F6" s="22" t="s">
        <v>68</v>
      </c>
      <c r="G6" s="17" t="s">
        <v>57</v>
      </c>
      <c r="H6" s="22" t="s">
        <v>68</v>
      </c>
      <c r="I6" s="19" t="s">
        <v>60</v>
      </c>
      <c r="J6" s="20" t="s">
        <v>61</v>
      </c>
      <c r="K6" s="21" t="s">
        <v>74</v>
      </c>
      <c r="L6" s="23" t="s">
        <v>75</v>
      </c>
    </row>
    <row r="7" spans="1:12" ht="42" customHeight="1" x14ac:dyDescent="0.3">
      <c r="A7" s="1" t="s">
        <v>76</v>
      </c>
      <c r="B7" s="16" t="s">
        <v>56</v>
      </c>
      <c r="C7" s="16" t="s">
        <v>58</v>
      </c>
      <c r="D7" s="16" t="s">
        <v>58</v>
      </c>
      <c r="E7" s="17" t="s">
        <v>57</v>
      </c>
      <c r="F7" s="22" t="s">
        <v>68</v>
      </c>
      <c r="G7" s="22" t="s">
        <v>68</v>
      </c>
      <c r="H7" s="16" t="s">
        <v>58</v>
      </c>
      <c r="I7" s="19" t="s">
        <v>60</v>
      </c>
      <c r="J7" s="18" t="s">
        <v>255</v>
      </c>
      <c r="K7" s="21" t="s">
        <v>77</v>
      </c>
      <c r="L7" s="2" t="s">
        <v>78</v>
      </c>
    </row>
    <row r="8" spans="1:12" ht="73.2" customHeight="1" x14ac:dyDescent="0.3">
      <c r="A8" s="1" t="s">
        <v>79</v>
      </c>
      <c r="B8" s="22" t="s">
        <v>250</v>
      </c>
      <c r="C8" s="22" t="s">
        <v>68</v>
      </c>
      <c r="D8" s="16" t="s">
        <v>58</v>
      </c>
      <c r="E8" s="22" t="s">
        <v>68</v>
      </c>
      <c r="F8" s="17" t="s">
        <v>57</v>
      </c>
      <c r="G8" s="22" t="s">
        <v>68</v>
      </c>
      <c r="H8" s="22" t="s">
        <v>68</v>
      </c>
      <c r="I8" s="19" t="s">
        <v>60</v>
      </c>
      <c r="J8" s="18" t="s">
        <v>80</v>
      </c>
      <c r="K8" s="21" t="s">
        <v>81</v>
      </c>
      <c r="L8" s="23" t="s">
        <v>251</v>
      </c>
    </row>
    <row r="9" spans="1:12" ht="42" customHeight="1" x14ac:dyDescent="0.3">
      <c r="A9" s="1" t="s">
        <v>82</v>
      </c>
      <c r="B9" s="17" t="s">
        <v>83</v>
      </c>
      <c r="C9" s="16" t="s">
        <v>58</v>
      </c>
      <c r="D9" s="16" t="s">
        <v>58</v>
      </c>
      <c r="E9" s="22" t="s">
        <v>68</v>
      </c>
      <c r="F9" s="22" t="s">
        <v>68</v>
      </c>
      <c r="G9" s="19" t="s">
        <v>60</v>
      </c>
      <c r="H9" s="22" t="s">
        <v>68</v>
      </c>
      <c r="I9" s="19" t="s">
        <v>60</v>
      </c>
      <c r="J9" s="20" t="s">
        <v>61</v>
      </c>
      <c r="K9" s="21" t="s">
        <v>84</v>
      </c>
      <c r="L9" s="2" t="s">
        <v>85</v>
      </c>
    </row>
    <row r="10" spans="1:12" ht="42" customHeight="1" x14ac:dyDescent="0.3">
      <c r="A10" s="1" t="s">
        <v>86</v>
      </c>
      <c r="B10" s="22" t="s">
        <v>65</v>
      </c>
      <c r="C10" s="19" t="s">
        <v>87</v>
      </c>
      <c r="D10" s="19" t="s">
        <v>88</v>
      </c>
      <c r="E10" s="19" t="s">
        <v>89</v>
      </c>
      <c r="F10" s="19" t="s">
        <v>90</v>
      </c>
      <c r="G10" s="19" t="s">
        <v>90</v>
      </c>
      <c r="H10" s="19" t="s">
        <v>91</v>
      </c>
      <c r="I10" s="19" t="s">
        <v>60</v>
      </c>
      <c r="J10" s="20" t="s">
        <v>61</v>
      </c>
      <c r="K10" s="21" t="s">
        <v>92</v>
      </c>
      <c r="L10" s="23" t="s">
        <v>93</v>
      </c>
    </row>
    <row r="11" spans="1:12" ht="42" customHeight="1" x14ac:dyDescent="0.3">
      <c r="A11" s="1" t="s">
        <v>94</v>
      </c>
      <c r="B11" s="17" t="s">
        <v>95</v>
      </c>
      <c r="C11" s="19" t="s">
        <v>95</v>
      </c>
      <c r="D11" s="19" t="s">
        <v>96</v>
      </c>
      <c r="E11" s="19" t="s">
        <v>95</v>
      </c>
      <c r="F11" s="19" t="s">
        <v>95</v>
      </c>
      <c r="G11" s="19" t="s">
        <v>95</v>
      </c>
      <c r="H11" s="19" t="s">
        <v>95</v>
      </c>
      <c r="I11" s="19" t="s">
        <v>60</v>
      </c>
      <c r="J11" s="20" t="s">
        <v>61</v>
      </c>
      <c r="K11" s="21" t="s">
        <v>92</v>
      </c>
      <c r="L11" s="2" t="s">
        <v>97</v>
      </c>
    </row>
    <row r="13" spans="1:12" ht="19.95" customHeight="1" x14ac:dyDescent="0.3">
      <c r="A13" s="24" t="s">
        <v>98</v>
      </c>
      <c r="B13" s="17" t="s">
        <v>99</v>
      </c>
      <c r="C13" s="16" t="s">
        <v>100</v>
      </c>
      <c r="D13" s="22" t="s">
        <v>101</v>
      </c>
      <c r="E13" s="18" t="s">
        <v>102</v>
      </c>
      <c r="F13" s="19" t="s">
        <v>103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showGridLines="0" topLeftCell="C1" workbookViewId="0">
      <pane ySplit="2" topLeftCell="A10" activePane="bottomLeft" state="frozen"/>
      <selection pane="bottomLeft" activeCell="L15" sqref="L15"/>
    </sheetView>
  </sheetViews>
  <sheetFormatPr defaultRowHeight="14.4" x14ac:dyDescent="0.3"/>
  <cols>
    <col min="1" max="1" width="24" customWidth="1"/>
    <col min="2" max="2" width="14" customWidth="1"/>
    <col min="3" max="3" width="22" customWidth="1"/>
    <col min="4" max="4" width="14" customWidth="1"/>
    <col min="5" max="8" width="8" customWidth="1"/>
    <col min="9" max="9" width="34" customWidth="1"/>
    <col min="10" max="10" width="30" customWidth="1"/>
    <col min="11" max="11" width="16" customWidth="1"/>
    <col min="12" max="12" width="50" customWidth="1"/>
  </cols>
  <sheetData>
    <row r="1" spans="1:12" ht="28.05" customHeight="1" x14ac:dyDescent="0.3">
      <c r="A1" s="46" t="s">
        <v>104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1.95" customHeight="1" x14ac:dyDescent="0.3">
      <c r="A2" s="24" t="s">
        <v>105</v>
      </c>
      <c r="B2" s="24" t="s">
        <v>106</v>
      </c>
      <c r="C2" s="24" t="s">
        <v>107</v>
      </c>
      <c r="D2" s="24" t="s">
        <v>43</v>
      </c>
      <c r="E2" s="24" t="s">
        <v>108</v>
      </c>
      <c r="F2" s="24" t="s">
        <v>109</v>
      </c>
      <c r="G2" s="24" t="s">
        <v>110</v>
      </c>
      <c r="H2" s="24" t="s">
        <v>111</v>
      </c>
      <c r="I2" s="24" t="s">
        <v>112</v>
      </c>
      <c r="J2" s="24" t="s">
        <v>113</v>
      </c>
      <c r="K2" s="24" t="s">
        <v>114</v>
      </c>
      <c r="L2" s="24" t="s">
        <v>115</v>
      </c>
    </row>
    <row r="3" spans="1:12" ht="36" customHeight="1" x14ac:dyDescent="0.3">
      <c r="A3" s="2" t="s">
        <v>116</v>
      </c>
      <c r="B3" s="20" t="s">
        <v>117</v>
      </c>
      <c r="C3" s="2" t="s">
        <v>45</v>
      </c>
      <c r="D3" s="2" t="s">
        <v>73</v>
      </c>
      <c r="E3" s="17" t="s">
        <v>118</v>
      </c>
      <c r="F3" s="17" t="s">
        <v>118</v>
      </c>
      <c r="G3" s="17" t="s">
        <v>118</v>
      </c>
      <c r="H3" s="17" t="s">
        <v>118</v>
      </c>
      <c r="I3" s="25" t="s">
        <v>68</v>
      </c>
      <c r="J3" s="26" t="s">
        <v>74</v>
      </c>
      <c r="K3" s="20" t="s">
        <v>61</v>
      </c>
      <c r="L3" s="2" t="s">
        <v>119</v>
      </c>
    </row>
    <row r="4" spans="1:12" ht="36" customHeight="1" x14ac:dyDescent="0.3">
      <c r="A4" s="23" t="s">
        <v>116</v>
      </c>
      <c r="B4" s="20" t="s">
        <v>117</v>
      </c>
      <c r="C4" s="23" t="s">
        <v>45</v>
      </c>
      <c r="D4" s="23" t="s">
        <v>64</v>
      </c>
      <c r="E4" s="17" t="s">
        <v>118</v>
      </c>
      <c r="F4" s="17" t="s">
        <v>118</v>
      </c>
      <c r="G4" s="17" t="s">
        <v>118</v>
      </c>
      <c r="H4" s="22" t="s">
        <v>120</v>
      </c>
      <c r="I4" s="27" t="s">
        <v>121</v>
      </c>
      <c r="J4" s="28" t="s">
        <v>74</v>
      </c>
      <c r="K4" s="20" t="s">
        <v>61</v>
      </c>
      <c r="L4" s="23" t="s">
        <v>122</v>
      </c>
    </row>
    <row r="5" spans="1:12" ht="36" customHeight="1" x14ac:dyDescent="0.3">
      <c r="A5" s="2" t="s">
        <v>116</v>
      </c>
      <c r="B5" s="20" t="s">
        <v>117</v>
      </c>
      <c r="C5" s="2" t="s">
        <v>45</v>
      </c>
      <c r="D5" s="2" t="s">
        <v>55</v>
      </c>
      <c r="E5" s="22" t="s">
        <v>120</v>
      </c>
      <c r="F5" s="17" t="s">
        <v>118</v>
      </c>
      <c r="G5" s="17" t="s">
        <v>118</v>
      </c>
      <c r="H5" s="22" t="s">
        <v>120</v>
      </c>
      <c r="I5" s="25" t="s">
        <v>68</v>
      </c>
      <c r="J5" s="26" t="s">
        <v>74</v>
      </c>
      <c r="K5" s="20" t="s">
        <v>61</v>
      </c>
      <c r="L5" s="2" t="s">
        <v>123</v>
      </c>
    </row>
    <row r="6" spans="1:12" ht="36" customHeight="1" x14ac:dyDescent="0.3">
      <c r="A6" s="23" t="s">
        <v>116</v>
      </c>
      <c r="B6" s="20" t="s">
        <v>117</v>
      </c>
      <c r="C6" s="23" t="s">
        <v>45</v>
      </c>
      <c r="D6" s="23" t="s">
        <v>71</v>
      </c>
      <c r="E6" s="17" t="s">
        <v>118</v>
      </c>
      <c r="F6" s="17" t="s">
        <v>118</v>
      </c>
      <c r="G6" s="17" t="s">
        <v>118</v>
      </c>
      <c r="H6" s="22" t="s">
        <v>120</v>
      </c>
      <c r="I6" s="29" t="s">
        <v>68</v>
      </c>
      <c r="J6" s="28" t="s">
        <v>74</v>
      </c>
      <c r="K6" s="20" t="s">
        <v>61</v>
      </c>
      <c r="L6" s="23"/>
    </row>
    <row r="7" spans="1:12" ht="36" customHeight="1" x14ac:dyDescent="0.3">
      <c r="A7" s="2" t="s">
        <v>124</v>
      </c>
      <c r="B7" s="20" t="s">
        <v>117</v>
      </c>
      <c r="C7" s="2" t="s">
        <v>46</v>
      </c>
      <c r="D7" s="2" t="s">
        <v>64</v>
      </c>
      <c r="E7" s="17" t="s">
        <v>118</v>
      </c>
      <c r="F7" s="17" t="s">
        <v>118</v>
      </c>
      <c r="G7" s="17" t="s">
        <v>118</v>
      </c>
      <c r="H7" s="17" t="s">
        <v>118</v>
      </c>
      <c r="I7" s="27" t="s">
        <v>125</v>
      </c>
      <c r="J7" s="26" t="s">
        <v>126</v>
      </c>
      <c r="K7" s="20" t="s">
        <v>61</v>
      </c>
      <c r="L7" s="2" t="s">
        <v>127</v>
      </c>
    </row>
    <row r="8" spans="1:12" ht="51.6" customHeight="1" x14ac:dyDescent="0.3">
      <c r="A8" s="23" t="s">
        <v>124</v>
      </c>
      <c r="B8" s="20" t="s">
        <v>117</v>
      </c>
      <c r="C8" s="23" t="s">
        <v>46</v>
      </c>
      <c r="D8" s="23" t="s">
        <v>79</v>
      </c>
      <c r="E8" s="22" t="s">
        <v>120</v>
      </c>
      <c r="F8" s="17" t="s">
        <v>118</v>
      </c>
      <c r="G8" s="22" t="s">
        <v>120</v>
      </c>
      <c r="H8" s="22" t="s">
        <v>120</v>
      </c>
      <c r="I8" s="29" t="s">
        <v>252</v>
      </c>
      <c r="J8" s="28" t="s">
        <v>126</v>
      </c>
      <c r="K8" s="20" t="s">
        <v>61</v>
      </c>
      <c r="L8" s="23" t="s">
        <v>128</v>
      </c>
    </row>
    <row r="9" spans="1:12" ht="36" customHeight="1" x14ac:dyDescent="0.3">
      <c r="A9" s="2" t="s">
        <v>129</v>
      </c>
      <c r="B9" s="20" t="s">
        <v>117</v>
      </c>
      <c r="C9" s="2" t="s">
        <v>47</v>
      </c>
      <c r="D9" s="2" t="s">
        <v>76</v>
      </c>
      <c r="E9" s="17" t="s">
        <v>118</v>
      </c>
      <c r="F9" s="17" t="s">
        <v>118</v>
      </c>
      <c r="G9" s="17" t="s">
        <v>118</v>
      </c>
      <c r="H9" s="22" t="s">
        <v>120</v>
      </c>
      <c r="I9" s="25" t="s">
        <v>68</v>
      </c>
      <c r="J9" s="26" t="s">
        <v>77</v>
      </c>
      <c r="K9" s="20" t="s">
        <v>61</v>
      </c>
      <c r="L9" s="2" t="s">
        <v>130</v>
      </c>
    </row>
    <row r="10" spans="1:12" ht="36" customHeight="1" x14ac:dyDescent="0.3">
      <c r="A10" s="23" t="s">
        <v>129</v>
      </c>
      <c r="B10" s="20" t="s">
        <v>117</v>
      </c>
      <c r="C10" s="23" t="s">
        <v>47</v>
      </c>
      <c r="D10" s="23" t="s">
        <v>55</v>
      </c>
      <c r="E10" s="22" t="s">
        <v>120</v>
      </c>
      <c r="F10" s="17" t="s">
        <v>118</v>
      </c>
      <c r="G10" s="22" t="s">
        <v>120</v>
      </c>
      <c r="H10" s="22" t="s">
        <v>120</v>
      </c>
      <c r="I10" s="29" t="s">
        <v>68</v>
      </c>
      <c r="J10" s="28" t="s">
        <v>77</v>
      </c>
      <c r="K10" s="20" t="s">
        <v>61</v>
      </c>
      <c r="L10" s="23" t="s">
        <v>131</v>
      </c>
    </row>
    <row r="11" spans="1:12" ht="36" customHeight="1" x14ac:dyDescent="0.3">
      <c r="A11" s="2" t="s">
        <v>129</v>
      </c>
      <c r="B11" s="20" t="s">
        <v>117</v>
      </c>
      <c r="C11" s="2" t="s">
        <v>47</v>
      </c>
      <c r="D11" s="2" t="s">
        <v>71</v>
      </c>
      <c r="E11" s="22" t="s">
        <v>120</v>
      </c>
      <c r="F11" s="17" t="s">
        <v>118</v>
      </c>
      <c r="G11" s="22" t="s">
        <v>120</v>
      </c>
      <c r="H11" s="22" t="s">
        <v>120</v>
      </c>
      <c r="I11" s="25" t="s">
        <v>68</v>
      </c>
      <c r="J11" s="26" t="s">
        <v>77</v>
      </c>
      <c r="K11" s="20" t="s">
        <v>61</v>
      </c>
      <c r="L11" s="2"/>
    </row>
    <row r="12" spans="1:12" ht="36" customHeight="1" x14ac:dyDescent="0.3">
      <c r="A12" s="23" t="s">
        <v>81</v>
      </c>
      <c r="B12" s="20" t="s">
        <v>117</v>
      </c>
      <c r="C12" s="23" t="s">
        <v>132</v>
      </c>
      <c r="D12" s="23" t="s">
        <v>79</v>
      </c>
      <c r="E12" s="22" t="s">
        <v>120</v>
      </c>
      <c r="F12" s="17" t="s">
        <v>118</v>
      </c>
      <c r="G12" s="17" t="s">
        <v>118</v>
      </c>
      <c r="H12" s="22" t="s">
        <v>120</v>
      </c>
      <c r="I12" s="29" t="s">
        <v>68</v>
      </c>
      <c r="J12" s="28" t="s">
        <v>133</v>
      </c>
      <c r="K12" s="20" t="s">
        <v>61</v>
      </c>
      <c r="L12" s="23" t="s">
        <v>134</v>
      </c>
    </row>
    <row r="13" spans="1:12" ht="36" customHeight="1" x14ac:dyDescent="0.3">
      <c r="A13" s="2" t="s">
        <v>81</v>
      </c>
      <c r="B13" s="20" t="s">
        <v>117</v>
      </c>
      <c r="C13" s="2" t="s">
        <v>132</v>
      </c>
      <c r="D13" s="2" t="s">
        <v>64</v>
      </c>
      <c r="E13" s="22" t="s">
        <v>120</v>
      </c>
      <c r="F13" s="17" t="s">
        <v>118</v>
      </c>
      <c r="G13" s="22" t="s">
        <v>120</v>
      </c>
      <c r="H13" s="22" t="s">
        <v>120</v>
      </c>
      <c r="I13" s="27" t="s">
        <v>135</v>
      </c>
      <c r="J13" s="26" t="s">
        <v>133</v>
      </c>
      <c r="K13" s="20" t="s">
        <v>61</v>
      </c>
      <c r="L13" s="2" t="s">
        <v>136</v>
      </c>
    </row>
    <row r="14" spans="1:12" ht="36" customHeight="1" x14ac:dyDescent="0.3">
      <c r="A14" s="23" t="s">
        <v>81</v>
      </c>
      <c r="B14" s="20" t="s">
        <v>117</v>
      </c>
      <c r="C14" s="23" t="s">
        <v>132</v>
      </c>
      <c r="D14" s="23" t="s">
        <v>55</v>
      </c>
      <c r="E14" s="22" t="s">
        <v>120</v>
      </c>
      <c r="F14" s="17" t="s">
        <v>118</v>
      </c>
      <c r="G14" s="22" t="s">
        <v>120</v>
      </c>
      <c r="H14" s="22" t="s">
        <v>120</v>
      </c>
      <c r="I14" s="29" t="s">
        <v>68</v>
      </c>
      <c r="J14" s="28" t="s">
        <v>133</v>
      </c>
      <c r="K14" s="20" t="s">
        <v>61</v>
      </c>
      <c r="L14" s="23"/>
    </row>
    <row r="15" spans="1:12" ht="73.8" customHeight="1" x14ac:dyDescent="0.3">
      <c r="A15" s="30" t="s">
        <v>137</v>
      </c>
      <c r="B15" s="20" t="s">
        <v>117</v>
      </c>
      <c r="C15" s="31" t="s">
        <v>138</v>
      </c>
      <c r="D15" s="31" t="s">
        <v>55</v>
      </c>
      <c r="E15" s="22" t="s">
        <v>120</v>
      </c>
      <c r="F15" s="17" t="s">
        <v>118</v>
      </c>
      <c r="G15" s="22" t="s">
        <v>120</v>
      </c>
      <c r="H15" s="22" t="s">
        <v>120</v>
      </c>
      <c r="I15" s="27" t="s">
        <v>139</v>
      </c>
      <c r="J15" s="32" t="s">
        <v>133</v>
      </c>
      <c r="K15" s="17" t="s">
        <v>140</v>
      </c>
      <c r="L15" s="31" t="s">
        <v>256</v>
      </c>
    </row>
    <row r="16" spans="1:12" ht="36" customHeight="1" x14ac:dyDescent="0.3">
      <c r="A16" s="23" t="s">
        <v>92</v>
      </c>
      <c r="B16" s="20" t="s">
        <v>117</v>
      </c>
      <c r="C16" s="23" t="s">
        <v>141</v>
      </c>
      <c r="D16" s="23" t="s">
        <v>86</v>
      </c>
      <c r="E16" s="17" t="s">
        <v>118</v>
      </c>
      <c r="F16" s="17" t="s">
        <v>118</v>
      </c>
      <c r="G16" s="17" t="s">
        <v>118</v>
      </c>
      <c r="H16" s="22" t="s">
        <v>120</v>
      </c>
      <c r="I16" s="29" t="s">
        <v>68</v>
      </c>
      <c r="J16" s="28" t="s">
        <v>126</v>
      </c>
      <c r="K16" s="20" t="s">
        <v>61</v>
      </c>
      <c r="L16" s="23" t="s">
        <v>142</v>
      </c>
    </row>
    <row r="17" spans="1:12" ht="36" customHeight="1" x14ac:dyDescent="0.3">
      <c r="A17" s="2" t="s">
        <v>92</v>
      </c>
      <c r="B17" s="20" t="s">
        <v>117</v>
      </c>
      <c r="C17" s="2" t="s">
        <v>141</v>
      </c>
      <c r="D17" s="2" t="s">
        <v>94</v>
      </c>
      <c r="E17" s="22" t="s">
        <v>120</v>
      </c>
      <c r="F17" s="17" t="s">
        <v>118</v>
      </c>
      <c r="G17" s="17" t="s">
        <v>118</v>
      </c>
      <c r="H17" s="22" t="s">
        <v>120</v>
      </c>
      <c r="I17" s="25" t="s">
        <v>68</v>
      </c>
      <c r="J17" s="26" t="s">
        <v>126</v>
      </c>
      <c r="K17" s="20" t="s">
        <v>61</v>
      </c>
      <c r="L17" s="2"/>
    </row>
    <row r="18" spans="1:12" ht="36" customHeight="1" x14ac:dyDescent="0.3">
      <c r="A18" s="1" t="s">
        <v>74</v>
      </c>
      <c r="B18" s="16" t="s">
        <v>143</v>
      </c>
      <c r="C18" s="33" t="s">
        <v>144</v>
      </c>
      <c r="D18" s="33" t="s">
        <v>145</v>
      </c>
      <c r="E18" s="20" t="s">
        <v>146</v>
      </c>
      <c r="F18" s="20" t="s">
        <v>146</v>
      </c>
      <c r="G18" s="20" t="s">
        <v>146</v>
      </c>
      <c r="H18" s="20" t="s">
        <v>146</v>
      </c>
      <c r="I18" s="27" t="s">
        <v>116</v>
      </c>
      <c r="J18" s="21" t="s">
        <v>146</v>
      </c>
      <c r="K18" s="20" t="s">
        <v>61</v>
      </c>
      <c r="L18" s="33" t="s">
        <v>147</v>
      </c>
    </row>
    <row r="19" spans="1:12" ht="36" customHeight="1" x14ac:dyDescent="0.3">
      <c r="A19" s="1" t="s">
        <v>126</v>
      </c>
      <c r="B19" s="16" t="s">
        <v>143</v>
      </c>
      <c r="C19" s="33" t="s">
        <v>148</v>
      </c>
      <c r="D19" s="33" t="s">
        <v>145</v>
      </c>
      <c r="E19" s="20" t="s">
        <v>146</v>
      </c>
      <c r="F19" s="20" t="s">
        <v>146</v>
      </c>
      <c r="G19" s="20" t="s">
        <v>146</v>
      </c>
      <c r="H19" s="20" t="s">
        <v>146</v>
      </c>
      <c r="I19" s="27" t="s">
        <v>149</v>
      </c>
      <c r="J19" s="21" t="s">
        <v>146</v>
      </c>
      <c r="K19" s="20" t="s">
        <v>61</v>
      </c>
      <c r="L19" s="33"/>
    </row>
    <row r="20" spans="1:12" ht="36" customHeight="1" x14ac:dyDescent="0.3">
      <c r="A20" s="1" t="s">
        <v>77</v>
      </c>
      <c r="B20" s="16" t="s">
        <v>143</v>
      </c>
      <c r="C20" s="33" t="s">
        <v>150</v>
      </c>
      <c r="D20" s="33" t="s">
        <v>145</v>
      </c>
      <c r="E20" s="20" t="s">
        <v>146</v>
      </c>
      <c r="F20" s="20" t="s">
        <v>146</v>
      </c>
      <c r="G20" s="20" t="s">
        <v>146</v>
      </c>
      <c r="H20" s="20" t="s">
        <v>146</v>
      </c>
      <c r="I20" s="27" t="s">
        <v>129</v>
      </c>
      <c r="J20" s="21" t="s">
        <v>146</v>
      </c>
      <c r="K20" s="20" t="s">
        <v>61</v>
      </c>
      <c r="L20" s="33"/>
    </row>
    <row r="21" spans="1:12" ht="36" customHeight="1" x14ac:dyDescent="0.3">
      <c r="A21" s="34" t="s">
        <v>133</v>
      </c>
      <c r="B21" s="16" t="s">
        <v>143</v>
      </c>
      <c r="C21" s="31" t="s">
        <v>151</v>
      </c>
      <c r="D21" s="31" t="s">
        <v>145</v>
      </c>
      <c r="E21" s="20" t="s">
        <v>146</v>
      </c>
      <c r="F21" s="20" t="s">
        <v>146</v>
      </c>
      <c r="G21" s="20" t="s">
        <v>146</v>
      </c>
      <c r="H21" s="20" t="s">
        <v>146</v>
      </c>
      <c r="I21" s="27" t="s">
        <v>152</v>
      </c>
      <c r="J21" s="32" t="s">
        <v>146</v>
      </c>
      <c r="K21" s="17" t="s">
        <v>140</v>
      </c>
      <c r="L21" s="31" t="s">
        <v>153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8" customWidth="1"/>
    <col min="2" max="2" width="12" customWidth="1"/>
    <col min="3" max="3" width="14" customWidth="1"/>
    <col min="4" max="4" width="28" customWidth="1"/>
    <col min="5" max="5" width="22" customWidth="1"/>
    <col min="6" max="6" width="26" customWidth="1"/>
    <col min="7" max="7" width="14" customWidth="1"/>
    <col min="8" max="8" width="10" customWidth="1"/>
    <col min="9" max="9" width="55" customWidth="1"/>
    <col min="10" max="10" width="45" customWidth="1"/>
  </cols>
  <sheetData>
    <row r="1" spans="1:10" ht="28.05" customHeight="1" x14ac:dyDescent="0.3">
      <c r="A1" s="46" t="s">
        <v>154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31.95" customHeight="1" x14ac:dyDescent="0.3">
      <c r="A2" s="24" t="s">
        <v>155</v>
      </c>
      <c r="B2" s="24" t="s">
        <v>43</v>
      </c>
      <c r="C2" s="24" t="s">
        <v>156</v>
      </c>
      <c r="D2" s="24" t="s">
        <v>157</v>
      </c>
      <c r="E2" s="24" t="s">
        <v>158</v>
      </c>
      <c r="F2" s="24" t="s">
        <v>159</v>
      </c>
      <c r="G2" s="24" t="s">
        <v>160</v>
      </c>
      <c r="H2" s="24" t="s">
        <v>161</v>
      </c>
      <c r="I2" s="24" t="s">
        <v>162</v>
      </c>
      <c r="J2" s="24" t="s">
        <v>163</v>
      </c>
    </row>
    <row r="3" spans="1:10" ht="60" customHeight="1" x14ac:dyDescent="0.3">
      <c r="A3" s="4" t="s">
        <v>164</v>
      </c>
      <c r="B3" s="1" t="s">
        <v>64</v>
      </c>
      <c r="C3" s="6" t="s">
        <v>165</v>
      </c>
      <c r="D3" s="2" t="s">
        <v>166</v>
      </c>
      <c r="E3" s="2" t="s">
        <v>167</v>
      </c>
      <c r="F3" s="1" t="s">
        <v>168</v>
      </c>
      <c r="G3" s="16" t="s">
        <v>58</v>
      </c>
      <c r="H3" s="22" t="s">
        <v>61</v>
      </c>
      <c r="I3" s="2" t="s">
        <v>169</v>
      </c>
      <c r="J3" s="29" t="s">
        <v>170</v>
      </c>
    </row>
    <row r="4" spans="1:10" ht="88.2" customHeight="1" x14ac:dyDescent="0.3">
      <c r="A4" s="4" t="s">
        <v>171</v>
      </c>
      <c r="B4" s="1" t="s">
        <v>79</v>
      </c>
      <c r="C4" s="6" t="s">
        <v>257</v>
      </c>
      <c r="D4" s="23" t="s">
        <v>258</v>
      </c>
      <c r="E4" s="23" t="s">
        <v>260</v>
      </c>
      <c r="F4" s="1" t="s">
        <v>173</v>
      </c>
      <c r="G4" s="16" t="s">
        <v>58</v>
      </c>
      <c r="H4" s="22" t="s">
        <v>61</v>
      </c>
      <c r="I4" s="23" t="s">
        <v>247</v>
      </c>
      <c r="J4" s="29" t="s">
        <v>259</v>
      </c>
    </row>
    <row r="5" spans="1:10" ht="60" customHeight="1" x14ac:dyDescent="0.3">
      <c r="A5" s="4" t="s">
        <v>174</v>
      </c>
      <c r="B5" s="1" t="s">
        <v>76</v>
      </c>
      <c r="C5" s="6" t="s">
        <v>172</v>
      </c>
      <c r="D5" s="2" t="s">
        <v>175</v>
      </c>
      <c r="E5" s="2" t="s">
        <v>176</v>
      </c>
      <c r="F5" s="1" t="s">
        <v>177</v>
      </c>
      <c r="G5" s="17" t="s">
        <v>178</v>
      </c>
      <c r="H5" s="17" t="s">
        <v>179</v>
      </c>
      <c r="I5" s="2" t="s">
        <v>180</v>
      </c>
      <c r="J5" s="29" t="s">
        <v>181</v>
      </c>
    </row>
    <row r="7" spans="1:10" ht="28.05" customHeight="1" x14ac:dyDescent="0.3">
      <c r="A7" s="47" t="s">
        <v>182</v>
      </c>
      <c r="B7" s="42"/>
      <c r="C7" s="42"/>
      <c r="D7" s="42"/>
      <c r="E7" s="42"/>
      <c r="F7" s="42"/>
      <c r="G7" s="42"/>
      <c r="H7" s="42"/>
      <c r="I7" s="42"/>
      <c r="J7" s="42"/>
    </row>
  </sheetData>
  <mergeCells count="2">
    <mergeCell ref="A1:J1"/>
    <mergeCell ref="A7:J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showGridLines="0" tabSelected="1" workbookViewId="0">
      <pane ySplit="2" topLeftCell="A15" activePane="bottomLeft" state="frozen"/>
      <selection pane="bottomLeft" activeCell="B22" sqref="B22"/>
    </sheetView>
  </sheetViews>
  <sheetFormatPr defaultRowHeight="14.4" x14ac:dyDescent="0.3"/>
  <cols>
    <col min="1" max="1" width="7" customWidth="1"/>
    <col min="2" max="2" width="30" customWidth="1"/>
    <col min="3" max="3" width="24" customWidth="1"/>
    <col min="4" max="4" width="10" customWidth="1"/>
    <col min="5" max="5" width="26" customWidth="1"/>
    <col min="6" max="6" width="42" customWidth="1"/>
    <col min="7" max="7" width="16" customWidth="1"/>
    <col min="8" max="9" width="20" customWidth="1"/>
    <col min="10" max="10" width="50" customWidth="1"/>
  </cols>
  <sheetData>
    <row r="1" spans="1:10" ht="28.05" customHeight="1" x14ac:dyDescent="0.3">
      <c r="A1" s="46" t="s">
        <v>183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31.95" customHeight="1" x14ac:dyDescent="0.3">
      <c r="A2" s="24" t="s">
        <v>184</v>
      </c>
      <c r="B2" s="24" t="s">
        <v>185</v>
      </c>
      <c r="C2" s="24" t="s">
        <v>186</v>
      </c>
      <c r="D2" s="24" t="s">
        <v>187</v>
      </c>
      <c r="E2" s="24" t="s">
        <v>188</v>
      </c>
      <c r="F2" s="24" t="s">
        <v>189</v>
      </c>
      <c r="G2" s="24" t="s">
        <v>190</v>
      </c>
      <c r="H2" s="24" t="s">
        <v>191</v>
      </c>
      <c r="I2" s="24" t="s">
        <v>192</v>
      </c>
      <c r="J2" s="24" t="s">
        <v>115</v>
      </c>
    </row>
    <row r="3" spans="1:10" ht="28.05" customHeight="1" x14ac:dyDescent="0.3">
      <c r="A3" s="24" t="s">
        <v>193</v>
      </c>
      <c r="B3" s="3" t="s">
        <v>194</v>
      </c>
      <c r="C3" s="25" t="s">
        <v>195</v>
      </c>
      <c r="D3" s="35">
        <v>2</v>
      </c>
      <c r="E3" s="21" t="s">
        <v>51</v>
      </c>
      <c r="F3" s="2" t="s">
        <v>196</v>
      </c>
      <c r="G3" s="17" t="s">
        <v>179</v>
      </c>
      <c r="H3" s="17" t="s">
        <v>179</v>
      </c>
      <c r="I3" s="17" t="s">
        <v>179</v>
      </c>
      <c r="J3" s="2" t="s">
        <v>197</v>
      </c>
    </row>
    <row r="4" spans="1:10" ht="28.05" customHeight="1" x14ac:dyDescent="0.3">
      <c r="A4" s="36" t="s">
        <v>198</v>
      </c>
      <c r="B4" s="37" t="s">
        <v>199</v>
      </c>
      <c r="C4" s="29" t="s">
        <v>194</v>
      </c>
      <c r="D4" s="6">
        <v>3</v>
      </c>
      <c r="E4" s="21" t="s">
        <v>126</v>
      </c>
      <c r="F4" s="23" t="s">
        <v>200</v>
      </c>
      <c r="G4" s="17" t="s">
        <v>179</v>
      </c>
      <c r="H4" s="17" t="s">
        <v>179</v>
      </c>
      <c r="I4" s="17" t="s">
        <v>179</v>
      </c>
      <c r="J4" s="23" t="s">
        <v>201</v>
      </c>
    </row>
    <row r="5" spans="1:10" ht="28.05" customHeight="1" x14ac:dyDescent="0.3">
      <c r="A5" s="36" t="s">
        <v>198</v>
      </c>
      <c r="B5" s="37" t="s">
        <v>202</v>
      </c>
      <c r="C5" s="25" t="s">
        <v>194</v>
      </c>
      <c r="D5" s="35">
        <v>2</v>
      </c>
      <c r="E5" s="21" t="s">
        <v>77</v>
      </c>
      <c r="F5" s="2" t="s">
        <v>203</v>
      </c>
      <c r="G5" s="17" t="s">
        <v>179</v>
      </c>
      <c r="H5" s="17" t="s">
        <v>179</v>
      </c>
      <c r="I5" s="17" t="s">
        <v>179</v>
      </c>
      <c r="J5" s="2"/>
    </row>
    <row r="6" spans="1:10" ht="28.05" customHeight="1" x14ac:dyDescent="0.3">
      <c r="A6" s="36" t="s">
        <v>198</v>
      </c>
      <c r="B6" s="37" t="s">
        <v>204</v>
      </c>
      <c r="C6" s="29" t="s">
        <v>194</v>
      </c>
      <c r="D6" s="6">
        <v>1</v>
      </c>
      <c r="E6" s="21" t="s">
        <v>133</v>
      </c>
      <c r="F6" s="23" t="s">
        <v>205</v>
      </c>
      <c r="G6" s="17" t="s">
        <v>179</v>
      </c>
      <c r="H6" s="17" t="s">
        <v>179</v>
      </c>
      <c r="I6" s="17" t="s">
        <v>179</v>
      </c>
      <c r="J6" s="23" t="s">
        <v>206</v>
      </c>
    </row>
    <row r="7" spans="1:10" ht="28.05" customHeight="1" x14ac:dyDescent="0.3">
      <c r="A7" s="5" t="s">
        <v>207</v>
      </c>
      <c r="B7" s="38" t="s">
        <v>208</v>
      </c>
      <c r="C7" s="25" t="s">
        <v>209</v>
      </c>
      <c r="D7" s="35">
        <v>5</v>
      </c>
      <c r="E7" s="21" t="s">
        <v>126</v>
      </c>
      <c r="F7" s="2" t="s">
        <v>210</v>
      </c>
      <c r="G7" s="17" t="s">
        <v>179</v>
      </c>
      <c r="H7" s="17" t="s">
        <v>179</v>
      </c>
      <c r="I7" s="17" t="s">
        <v>179</v>
      </c>
      <c r="J7" s="2" t="s">
        <v>211</v>
      </c>
    </row>
    <row r="8" spans="1:10" ht="28.05" customHeight="1" x14ac:dyDescent="0.3">
      <c r="A8" s="5" t="s">
        <v>207</v>
      </c>
      <c r="B8" s="38" t="s">
        <v>212</v>
      </c>
      <c r="C8" s="29" t="s">
        <v>209</v>
      </c>
      <c r="D8" s="6">
        <v>4</v>
      </c>
      <c r="E8" s="21" t="s">
        <v>126</v>
      </c>
      <c r="F8" s="23" t="s">
        <v>213</v>
      </c>
      <c r="G8" s="17" t="s">
        <v>179</v>
      </c>
      <c r="H8" s="17" t="s">
        <v>179</v>
      </c>
      <c r="I8" s="17" t="s">
        <v>179</v>
      </c>
      <c r="J8" s="23"/>
    </row>
    <row r="9" spans="1:10" ht="28.05" customHeight="1" x14ac:dyDescent="0.3">
      <c r="A9" s="5" t="s">
        <v>207</v>
      </c>
      <c r="B9" s="38" t="s">
        <v>214</v>
      </c>
      <c r="C9" s="25" t="s">
        <v>209</v>
      </c>
      <c r="D9" s="35">
        <v>6</v>
      </c>
      <c r="E9" s="21" t="s">
        <v>126</v>
      </c>
      <c r="F9" s="2" t="s">
        <v>215</v>
      </c>
      <c r="G9" s="17" t="s">
        <v>179</v>
      </c>
      <c r="H9" s="17" t="s">
        <v>179</v>
      </c>
      <c r="I9" s="17" t="s">
        <v>179</v>
      </c>
      <c r="J9" s="2"/>
    </row>
    <row r="10" spans="1:10" ht="28.05" customHeight="1" x14ac:dyDescent="0.3">
      <c r="A10" s="5" t="s">
        <v>207</v>
      </c>
      <c r="B10" s="38" t="s">
        <v>216</v>
      </c>
      <c r="C10" s="29" t="s">
        <v>217</v>
      </c>
      <c r="D10" s="6">
        <v>3</v>
      </c>
      <c r="E10" s="21" t="s">
        <v>77</v>
      </c>
      <c r="F10" s="23" t="s">
        <v>218</v>
      </c>
      <c r="G10" s="17" t="s">
        <v>179</v>
      </c>
      <c r="H10" s="17" t="s">
        <v>179</v>
      </c>
      <c r="I10" s="17" t="s">
        <v>179</v>
      </c>
      <c r="J10" s="23" t="s">
        <v>219</v>
      </c>
    </row>
    <row r="11" spans="1:10" ht="28.05" customHeight="1" x14ac:dyDescent="0.3">
      <c r="A11" s="39" t="s">
        <v>220</v>
      </c>
      <c r="B11" s="21" t="s">
        <v>221</v>
      </c>
      <c r="C11" s="25" t="s">
        <v>222</v>
      </c>
      <c r="D11" s="35">
        <v>25</v>
      </c>
      <c r="E11" s="21" t="s">
        <v>74</v>
      </c>
      <c r="F11" s="2" t="s">
        <v>223</v>
      </c>
      <c r="G11" s="17" t="s">
        <v>179</v>
      </c>
      <c r="H11" s="22" t="s">
        <v>61</v>
      </c>
      <c r="I11" s="22" t="s">
        <v>61</v>
      </c>
      <c r="J11" s="2" t="s">
        <v>224</v>
      </c>
    </row>
    <row r="12" spans="1:10" ht="28.05" customHeight="1" x14ac:dyDescent="0.3">
      <c r="A12" s="39" t="s">
        <v>220</v>
      </c>
      <c r="B12" s="21" t="s">
        <v>225</v>
      </c>
      <c r="C12" s="29" t="s">
        <v>226</v>
      </c>
      <c r="D12" s="6">
        <v>20</v>
      </c>
      <c r="E12" s="21" t="s">
        <v>74</v>
      </c>
      <c r="F12" s="23" t="s">
        <v>223</v>
      </c>
      <c r="G12" s="17" t="s">
        <v>179</v>
      </c>
      <c r="H12" s="22" t="s">
        <v>61</v>
      </c>
      <c r="I12" s="22" t="s">
        <v>61</v>
      </c>
      <c r="J12" s="23"/>
    </row>
    <row r="13" spans="1:10" ht="28.05" customHeight="1" x14ac:dyDescent="0.3">
      <c r="A13" s="39" t="s">
        <v>220</v>
      </c>
      <c r="B13" s="21" t="s">
        <v>227</v>
      </c>
      <c r="C13" s="25" t="s">
        <v>228</v>
      </c>
      <c r="D13" s="35">
        <v>30</v>
      </c>
      <c r="E13" s="21" t="s">
        <v>74</v>
      </c>
      <c r="F13" s="2" t="s">
        <v>223</v>
      </c>
      <c r="G13" s="17" t="s">
        <v>179</v>
      </c>
      <c r="H13" s="22" t="s">
        <v>61</v>
      </c>
      <c r="I13" s="22" t="s">
        <v>61</v>
      </c>
      <c r="J13" s="2"/>
    </row>
    <row r="14" spans="1:10" ht="28.05" customHeight="1" x14ac:dyDescent="0.3">
      <c r="A14" s="39" t="s">
        <v>220</v>
      </c>
      <c r="B14" s="21" t="s">
        <v>229</v>
      </c>
      <c r="C14" s="29" t="s">
        <v>230</v>
      </c>
      <c r="D14" s="6">
        <v>80</v>
      </c>
      <c r="E14" s="21" t="s">
        <v>77</v>
      </c>
      <c r="F14" s="23" t="s">
        <v>231</v>
      </c>
      <c r="G14" s="17" t="s">
        <v>179</v>
      </c>
      <c r="H14" s="22" t="s">
        <v>61</v>
      </c>
      <c r="I14" s="22" t="s">
        <v>61</v>
      </c>
      <c r="J14" s="23" t="s">
        <v>232</v>
      </c>
    </row>
    <row r="15" spans="1:10" ht="28.05" customHeight="1" x14ac:dyDescent="0.3">
      <c r="A15" s="39" t="s">
        <v>220</v>
      </c>
      <c r="B15" s="21" t="s">
        <v>233</v>
      </c>
      <c r="C15" s="25" t="s">
        <v>138</v>
      </c>
      <c r="D15" s="35">
        <v>39</v>
      </c>
      <c r="E15" s="21" t="s">
        <v>133</v>
      </c>
      <c r="F15" s="2" t="s">
        <v>234</v>
      </c>
      <c r="G15" s="17" t="s">
        <v>179</v>
      </c>
      <c r="H15" s="22" t="s">
        <v>61</v>
      </c>
      <c r="I15" s="22" t="s">
        <v>61</v>
      </c>
      <c r="J15" s="2"/>
    </row>
    <row r="16" spans="1:10" ht="28.05" customHeight="1" x14ac:dyDescent="0.3">
      <c r="A16" s="40" t="s">
        <v>235</v>
      </c>
      <c r="B16" s="23" t="s">
        <v>236</v>
      </c>
      <c r="C16" s="29" t="s">
        <v>195</v>
      </c>
      <c r="D16" s="6">
        <v>145</v>
      </c>
      <c r="E16" s="21" t="s">
        <v>237</v>
      </c>
      <c r="F16" s="23" t="s">
        <v>238</v>
      </c>
      <c r="G16" s="22" t="s">
        <v>61</v>
      </c>
      <c r="H16" s="22" t="s">
        <v>61</v>
      </c>
      <c r="I16" s="22" t="s">
        <v>61</v>
      </c>
      <c r="J16" s="23" t="s">
        <v>239</v>
      </c>
    </row>
    <row r="18" spans="1:4" ht="22.05" customHeight="1" x14ac:dyDescent="0.3">
      <c r="A18" s="24" t="s">
        <v>240</v>
      </c>
      <c r="B18" s="3" t="s">
        <v>241</v>
      </c>
      <c r="D18" s="24">
        <f>SUM(D3:D16)</f>
        <v>365</v>
      </c>
    </row>
    <row r="20" spans="1:4" x14ac:dyDescent="0.3">
      <c r="A20" t="s">
        <v>262</v>
      </c>
      <c r="B20" t="s">
        <v>261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Scope</vt:lpstr>
      <vt:lpstr>Access Matrix</vt:lpstr>
      <vt:lpstr>Permission Set Inventory</vt:lpstr>
      <vt:lpstr>Sharing Rules Log</vt:lpstr>
      <vt:lpstr>Role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ADEDAYO MUYIWA THOMAS</cp:lastModifiedBy>
  <dcterms:created xsi:type="dcterms:W3CDTF">2026-04-16T14:19:53Z</dcterms:created>
  <dcterms:modified xsi:type="dcterms:W3CDTF">2026-04-24T23:06:59Z</dcterms:modified>
</cp:coreProperties>
</file>